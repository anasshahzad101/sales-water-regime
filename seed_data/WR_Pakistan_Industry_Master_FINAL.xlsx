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ew Target Accounts" sheetId="2" state="visible" r:id="rId4"/>
    <sheet name="Live Project Signals" sheetId="3" state="visible" r:id="rId5"/>
    <sheet name="WR Active Pipeline" sheetId="4" state="visible" r:id="rId6"/>
    <sheet name="Master Companies" sheetId="5" state="visible" r:id="rId7"/>
    <sheet name="Sector Taxonomy" sheetId="6" state="visible" r:id="rId8"/>
    <sheet name="Data Issues" sheetId="7" state="visible" r:id="rId9"/>
    <sheet name="Review Findings" sheetId="8" state="visible" r:id="rId10"/>
    <sheet name="Removed &amp; Out of Scope" sheetId="9" state="visible" r:id="rId11"/>
    <sheet name="Method &amp; Sources" sheetId="10" state="visible" r:id="rId12"/>
  </sheets>
  <definedNames>
    <definedName function="false" hidden="false" localSheetId="6" name="_xlnm.Print_Titles" vbProcedure="false">'Data Issues'!$1:$1</definedName>
    <definedName function="false" hidden="true" localSheetId="6" name="_xlnm._FilterDatabase" vbProcedure="false">'Data Issues'!$A$1:$E$110</definedName>
    <definedName function="false" hidden="false" localSheetId="2" name="_xlnm.Print_Titles" vbProcedure="false">'Live Project Signals'!$1:$1</definedName>
    <definedName function="false" hidden="true" localSheetId="2" name="_xlnm._FilterDatabase" vbProcedure="false">'Live Project Signals'!$A$1:$G$31</definedName>
    <definedName function="false" hidden="false" localSheetId="4" name="_xlnm.Print_Titles" vbProcedure="false">'Master Companies'!$1:$1</definedName>
    <definedName function="false" hidden="true" localSheetId="4" name="_xlnm._FilterDatabase" vbProcedure="false">'Master Companies'!$A$1:$P$923</definedName>
    <definedName function="false" hidden="false" localSheetId="9" name="_xlnm.Print_Titles" vbProcedure="false">'Method &amp; Sources'!$1:$1</definedName>
    <definedName function="false" hidden="true" localSheetId="9" name="_xlnm._FilterDatabase" vbProcedure="false">'Method &amp; Sources'!$A$1:$B$11</definedName>
    <definedName function="false" hidden="false" localSheetId="1" name="_xlnm.Print_Titles" vbProcedure="false">'New Target Accounts'!$1:$1</definedName>
    <definedName function="false" hidden="true" localSheetId="1" name="_xlnm._FilterDatabase" vbProcedure="false">'New Target Accounts'!$A$1:$Q$300</definedName>
    <definedName function="false" hidden="false" localSheetId="8" name="_xlnm.Print_Titles" vbProcedure="false">'Removed &amp; Out of Scope'!$1:$1</definedName>
    <definedName function="false" hidden="true" localSheetId="8" name="_xlnm._FilterDatabase" vbProcedure="false">'Removed &amp; Out of Scope'!$A$1:$C$89</definedName>
    <definedName function="false" hidden="false" localSheetId="7" name="_xlnm.Print_Titles" vbProcedure="false">'Review Findings'!$1:$1</definedName>
    <definedName function="false" hidden="true" localSheetId="7" name="_xlnm._FilterDatabase" vbProcedure="false">'Review Findings'!$A$1:$E$22</definedName>
    <definedName function="false" hidden="false" localSheetId="5" name="_xlnm.Print_Titles" vbProcedure="false">'Sector Taxonomy'!$1:$1</definedName>
    <definedName function="false" hidden="true" localSheetId="5" name="_xlnm._FilterDatabase" vbProcedure="false">'Sector Taxonomy'!$A$1:$G$20</definedName>
    <definedName function="false" hidden="false" localSheetId="3" name="_xlnm.Print_Titles" vbProcedure="false">'WR Active Pipeline'!$1:$1</definedName>
    <definedName function="false" hidden="true" localSheetId="3" name="_xlnm._FilterDatabase" vbProcedure="false">'WR Active Pipeline'!$A$1:$K$34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<sst xmlns="http://schemas.openxmlformats.org/spreadsheetml/2006/main" count="13545" uniqueCount="3559">
  <si>
    <t xml:space="preserve">Water Regime — New Target Accounts, Pakistan</t>
  </si>
  <si>
    <t xml:space="preserve">New industrial accounts with a clear water or wastewater need, identified by Business Development across 19 core industrial sectors. None appear in Water Regime's existing industry lists, visit plans or project pipeline.</t>
  </si>
  <si>
    <t xml:space="preserve">Prepared 08 Oct 2026 · Revised</t>
  </si>
  <si>
    <t xml:space="preserve">By priority</t>
  </si>
  <si>
    <t xml:space="preserve">Count</t>
  </si>
  <si>
    <t xml:space="preserve">By sector</t>
  </si>
  <si>
    <t xml:space="preserve">New</t>
  </si>
  <si>
    <t xml:space="preserve">Priority 1 — pursue first</t>
  </si>
  <si>
    <t xml:space="preserve">Textile</t>
  </si>
  <si>
    <t xml:space="preserve">Priority 2 — strong prospects</t>
  </si>
  <si>
    <t xml:space="preserve">Food &amp; Beverage</t>
  </si>
  <si>
    <t xml:space="preserve">Priority 3 — longer-term</t>
  </si>
  <si>
    <t xml:space="preserve">Pharmaceutical &amp; Healthcare</t>
  </si>
  <si>
    <t xml:space="preserve">TOTAL</t>
  </si>
  <si>
    <t xml:space="preserve">Sugar &amp; Distillery</t>
  </si>
  <si>
    <t xml:space="preserve">Power</t>
  </si>
  <si>
    <t xml:space="preserve">Basis of selection</t>
  </si>
  <si>
    <t xml:space="preserve">Chemicals &amp; Petrochemical</t>
  </si>
  <si>
    <t xml:space="preserve">Live project signal (EIA filed / new plant announced)</t>
  </si>
  <si>
    <t xml:space="preserve">Automotive</t>
  </si>
  <si>
    <t xml:space="preserve">Established operator — PSX-listed, export factory or national brand</t>
  </si>
  <si>
    <t xml:space="preserve">Cement</t>
  </si>
  <si>
    <t xml:space="preserve">Steel &amp; Metals</t>
  </si>
  <si>
    <t xml:space="preserve">Glass &amp; Ceramics</t>
  </si>
  <si>
    <t xml:space="preserve">This revision</t>
  </si>
  <si>
    <t xml:space="preserve">Pulp, Paper &amp; Packaging</t>
  </si>
  <si>
    <t xml:space="preserve">Retained from previous list</t>
  </si>
  <si>
    <t xml:space="preserve">Oil &amp; Gas</t>
  </si>
  <si>
    <t xml:space="preserve">Newly researched and added</t>
  </si>
  <si>
    <t xml:space="preserve">EPC / Consultant (Partner)</t>
  </si>
  <si>
    <t xml:space="preserve">Textile growth (vs. previous list)</t>
  </si>
  <si>
    <t xml:space="preserve">Leather &amp; Tanneries</t>
  </si>
  <si>
    <t xml:space="preserve">Electrical &amp; Appliances</t>
  </si>
  <si>
    <t xml:space="preserve">Other sheets</t>
  </si>
  <si>
    <t xml:space="preserve">Rows</t>
  </si>
  <si>
    <t xml:space="preserve">Mining &amp; Minerals</t>
  </si>
  <si>
    <t xml:space="preserve">Live project signals (incl. 2 at existing WR accounts)</t>
  </si>
  <si>
    <t xml:space="preserve">Defence &amp; State Manufacturing</t>
  </si>
  <si>
    <t xml:space="preserve">WR active pipeline accounts (Tier A)</t>
  </si>
  <si>
    <t xml:space="preserve">Batteries</t>
  </si>
  <si>
    <t xml:space="preserve">Master companies (WR lists + new targets)</t>
  </si>
  <si>
    <t xml:space="preserve">Fertilizer</t>
  </si>
  <si>
    <t xml:space="preserve">Priority 1 = largest water footprint and strongest fit, or a live project. Priority 2 = strong industrial prospect. Priority 3 = longer-term. Counts are live formulas over the 'New Target Accounts' sheet.</t>
  </si>
  <si>
    <t xml:space="preserve">No.</t>
  </si>
  <si>
    <t xml:space="preserve">Company</t>
  </si>
  <si>
    <t xml:space="preserve">Group</t>
  </si>
  <si>
    <t xml:space="preserve">Sector</t>
  </si>
  <si>
    <t xml:space="preserve">Sub-sector</t>
  </si>
  <si>
    <t xml:space="preserve">City / site</t>
  </si>
  <si>
    <t xml:space="preserve">Province</t>
  </si>
  <si>
    <t xml:space="preserve">Water / wastewater need</t>
  </si>
  <si>
    <t xml:space="preserve">WR solution</t>
  </si>
  <si>
    <t xml:space="preserve">Target decision-makers</t>
  </si>
  <si>
    <t xml:space="preserve">Priority</t>
  </si>
  <si>
    <t xml:space="preserve">Evidence / size</t>
  </si>
  <si>
    <t xml:space="preserve">Recommended first step</t>
  </si>
  <si>
    <t xml:space="preserve">Remarks</t>
  </si>
  <si>
    <t xml:space="preserve">Added in</t>
  </si>
  <si>
    <t xml:space="preserve">Source</t>
  </si>
  <si>
    <t xml:space="preserve">Honda Atlas Cars (Pakistan) Ltd</t>
  </si>
  <si>
    <t xml:space="preserve">Atlas Group</t>
  </si>
  <si>
    <t xml:space="preserve">OEM Assembly</t>
  </si>
  <si>
    <t xml:space="preserve">Lahore</t>
  </si>
  <si>
    <t xml:space="preserve">Punjab</t>
  </si>
  <si>
    <t xml:space="preserve">Paint-shop effluent</t>
  </si>
  <si>
    <t xml:space="preserve">Paint-shop ETP, RO</t>
  </si>
  <si>
    <t xml:space="preserve">Plant Engineering Manager; EHS Manager</t>
  </si>
  <si>
    <t xml:space="preserve">Established operator</t>
  </si>
  <si>
    <t xml:space="preserve">Established operator — listed or nationally known</t>
  </si>
  <si>
    <t xml:space="preserve">Intro meeting</t>
  </si>
  <si>
    <t xml:space="preserve">Atlas group (Atlas Honda) already visited</t>
  </si>
  <si>
    <t xml:space="preserve">Original list</t>
  </si>
  <si>
    <t xml:space="preserve">Nationally established manufacturer</t>
  </si>
  <si>
    <t xml:space="preserve">Indus Motor Company Ltd (Toyota)</t>
  </si>
  <si>
    <t xml:space="preserve">House of Habib</t>
  </si>
  <si>
    <t xml:space="preserve">OEM Assembly (paint shop)</t>
  </si>
  <si>
    <t xml:space="preserve">Karachi (Port Qasim)</t>
  </si>
  <si>
    <t xml:space="preserve">Sindh</t>
  </si>
  <si>
    <t xml:space="preserve">Paint-shop effluent; strong Japanese-parent environmental standards</t>
  </si>
  <si>
    <t xml:space="preserve">Paint-shop ETP, RO process water, recycling</t>
  </si>
  <si>
    <t xml:space="preserve">Intro via EHS</t>
  </si>
  <si>
    <t xml:space="preserve">Asia Precious Mining Company</t>
  </si>
  <si>
    <t xml:space="preserve">New cement plant</t>
  </si>
  <si>
    <t xml:space="preserve">Punjab — site to confirm</t>
  </si>
  <si>
    <t xml:space="preserve">Greenfield plant — boiler-feed / WHR water and cooling water</t>
  </si>
  <si>
    <t xml:space="preserve">Boiler-feed RO / DM, softening</t>
  </si>
  <si>
    <t xml:space="preserve">GM Technical; Power Plant Manager</t>
  </si>
  <si>
    <t xml:space="preserve">Live project signal</t>
  </si>
  <si>
    <t xml:space="preserve">One of 7 new cement plants approved, US$700M combined (Apr-2026)</t>
  </si>
  <si>
    <t xml:space="preserve">Meet project / engineering head while design is open</t>
  </si>
  <si>
    <t xml:space="preserve">Added 08-Oct-2026</t>
  </si>
  <si>
    <t xml:space="preserve">https://e.ccement.com/news/content/67531448976165001.html</t>
  </si>
  <si>
    <t xml:space="preserve">Bestway Cement Ltd</t>
  </si>
  <si>
    <t xml:space="preserve">Bestway</t>
  </si>
  <si>
    <t xml:space="preserve">Cement (multi-plant)</t>
  </si>
  <si>
    <t xml:space="preserve">Hattar / Chakwal / Kallar Kahar</t>
  </si>
  <si>
    <t xml:space="preserve">Largest cement group — multiple plants with captive power</t>
  </si>
  <si>
    <t xml:space="preserve">Boiler-feed RO/DM, cooling water</t>
  </si>
  <si>
    <t xml:space="preserve">Buta Cement</t>
  </si>
  <si>
    <t xml:space="preserve">Dandot Cement Company Ltd</t>
  </si>
  <si>
    <t xml:space="preserve">Cement (new project)</t>
  </si>
  <si>
    <t xml:space="preserve">Dandot (Jhelum)</t>
  </si>
  <si>
    <t xml:space="preserve">New / revived capacity — boiler-feed and cooling water</t>
  </si>
  <si>
    <t xml:space="preserve">Fauji Cement Company Ltd</t>
  </si>
  <si>
    <t xml:space="preserve">Fauji Foundation</t>
  </si>
  <si>
    <t xml:space="preserve">Jhang Bahtar / Nizampur / D.G. Khan</t>
  </si>
  <si>
    <t xml:space="preserve">Multi-plant cement</t>
  </si>
  <si>
    <t xml:space="preserve">Boiler-feed RO/DM</t>
  </si>
  <si>
    <t xml:space="preserve">GM Technical</t>
  </si>
  <si>
    <t xml:space="preserve">Maple Leaf Cement Factory Ltd</t>
  </si>
  <si>
    <t xml:space="preserve">Kohinoor Maple Leaf Group</t>
  </si>
  <si>
    <t xml:space="preserve">Daudkhel</t>
  </si>
  <si>
    <t xml:space="preserve">Large plant with captive power</t>
  </si>
  <si>
    <t xml:space="preserve">Oriental Cement (Pvt) Ltd</t>
  </si>
  <si>
    <t xml:space="preserve">Emcon Chemicals (Pvt) Ltd</t>
  </si>
  <si>
    <t xml:space="preserve">Chemicals (new unit)</t>
  </si>
  <si>
    <t xml:space="preserve">Value Addition City, Chak Jhumra (Faisalabad)</t>
  </si>
  <si>
    <t xml:space="preserve">New chemical unit — process water and chemical effluent treatment</t>
  </si>
  <si>
    <t xml:space="preserve">DM / RO, brine treatment, ETP, ZLD</t>
  </si>
  <si>
    <t xml:space="preserve">Plant Manager; Engineering Manager; EHS Manager</t>
  </si>
  <si>
    <t xml:space="preserve">Punjab EPD EIA register: new unit at Value Addition City</t>
  </si>
  <si>
    <t xml:space="preserve">https://epd.punjab.gov.pk/eia-reports</t>
  </si>
  <si>
    <t xml:space="preserve">Ittehad Chemicals Ltd</t>
  </si>
  <si>
    <t xml:space="preserve">Ittehad</t>
  </si>
  <si>
    <t xml:space="preserve">Chlor-alkali</t>
  </si>
  <si>
    <t xml:space="preserve">Kala Shah Kaku</t>
  </si>
  <si>
    <t xml:space="preserve">Chlor-alkali — brine &amp; effluent</t>
  </si>
  <si>
    <t xml:space="preserve">Brine RO, ETP</t>
  </si>
  <si>
    <t xml:space="preserve">Premier Industrial Chemical Manufacturing Co (Pvt) Ltd</t>
  </si>
  <si>
    <t xml:space="preserve">Starch (new unit)</t>
  </si>
  <si>
    <t xml:space="preserve">Kot Saleem, Sheikhupura</t>
  </si>
  <si>
    <t xml:space="preserve">Starch processing — high-COD effluent, anaerobic treatment opportunity</t>
  </si>
  <si>
    <t xml:space="preserve">Punjab EPD EIA register: construction of starch pack unit</t>
  </si>
  <si>
    <t xml:space="preserve">Sitara Chemical Industries Ltd</t>
  </si>
  <si>
    <t xml:space="preserve">Sitara Group</t>
  </si>
  <si>
    <t xml:space="preserve">Faisalabad</t>
  </si>
  <si>
    <t xml:space="preserve">Chlor-alkali in Faisalabad — brine &amp; effluent</t>
  </si>
  <si>
    <t xml:space="preserve">Descon Engineering Ltd</t>
  </si>
  <si>
    <t xml:space="preserve">Descon</t>
  </si>
  <si>
    <t xml:space="preserve">EPC Contractor</t>
  </si>
  <si>
    <t xml:space="preserve">Major EPC — industrial &amp; power projects</t>
  </si>
  <si>
    <t xml:space="preserve">Water-package subcontracting</t>
  </si>
  <si>
    <t xml:space="preserve">Business Development Head; Project Director; Procurement Manager</t>
  </si>
  <si>
    <t xml:space="preserve">Vendor registration</t>
  </si>
  <si>
    <t xml:space="preserve">Frontier Works Organization (FWO)</t>
  </si>
  <si>
    <t xml:space="preserve">Government</t>
  </si>
  <si>
    <t xml:space="preserve">Infrastructure Contractor</t>
  </si>
  <si>
    <t xml:space="preserve">Rawalpindi</t>
  </si>
  <si>
    <t xml:space="preserve">Large infrastructure contractor (SEZs, highways, water)</t>
  </si>
  <si>
    <t xml:space="preserve">Habib Rafiq (Pvt) Ltd</t>
  </si>
  <si>
    <t xml:space="preserve">Habib Rafiq</t>
  </si>
  <si>
    <t xml:space="preserve">Construction Contractor</t>
  </si>
  <si>
    <t xml:space="preserve">Major contractor on mega projects (housing, infrastructure)</t>
  </si>
  <si>
    <t xml:space="preserve">NESPAK (National Engineering Services Pakistan)</t>
  </si>
  <si>
    <t xml:space="preserve">Engineering Consultant</t>
  </si>
  <si>
    <t xml:space="preserve">Lead consultant on public WWTP/water projects — specification influence</t>
  </si>
  <si>
    <t xml:space="preserve">Specification support / approved vendor</t>
  </si>
  <si>
    <t xml:space="preserve">Technical presentation to water division</t>
  </si>
  <si>
    <t xml:space="preserve">AA Poultry Protein</t>
  </si>
  <si>
    <t xml:space="preserve">Poultry rendering (new unit)</t>
  </si>
  <si>
    <t xml:space="preserve">Kasur</t>
  </si>
  <si>
    <t xml:space="preserve">Rendering effluent with very high BOD / fats — DAF + anaerobic / aerobic treatment</t>
  </si>
  <si>
    <t xml:space="preserve">RO / UF process water, anaerobic + aerobic ETP, water reuse</t>
  </si>
  <si>
    <t xml:space="preserve">Plant Manager; Utilities Manager; EHS Manager</t>
  </si>
  <si>
    <t xml:space="preserve">Punjab EPD EIA register: poultry protein rendering unit</t>
  </si>
  <si>
    <t xml:space="preserve">Coca-Cola İçecek Pakistan Ltd</t>
  </si>
  <si>
    <t xml:space="preserve">Coca-Cola İçecek</t>
  </si>
  <si>
    <t xml:space="preserve">Carbonated Soft Drinks (multi-plant)</t>
  </si>
  <si>
    <t xml:space="preserve">Lahore / Karachi / Faisalabad / Multan / Islamabad</t>
  </si>
  <si>
    <t xml:space="preserve">Multi-plant bottler; global water-use-ratio targets; process + bottle-wash water</t>
  </si>
  <si>
    <t xml:space="preserve">RO/UF process water, ETP, recycling</t>
  </si>
  <si>
    <t xml:space="preserve">Plant Manager; Engineering Manager; Utilities Manager; EHS Manager; Procurement Manager</t>
  </si>
  <si>
    <t xml:space="preserve">Sindh EPA EIA: 'Karachi Greenfield' bottling plant, Port Qasim — US$40.5M, ~101,000 bottles/hr</t>
  </si>
  <si>
    <t xml:space="preserve">Corporate engineering intro (multi-plant framework)</t>
  </si>
  <si>
    <t xml:space="preserve">https://epa.sindh.gov.pk/files/EPA-Sindh/EIA-IEE/EIA%20CCI%20Greenfield%20Karachi%20Report.pdf</t>
  </si>
  <si>
    <t xml:space="preserve">FrieslandCampina Engro Pakistan Ltd</t>
  </si>
  <si>
    <t xml:space="preserve">FrieslandCampina</t>
  </si>
  <si>
    <t xml:space="preserve">Dairy</t>
  </si>
  <si>
    <t xml:space="preserve">Sahiwal / Sukkur</t>
  </si>
  <si>
    <t xml:space="preserve">Large dairy processing (high BOD effluent, CIP water)</t>
  </si>
  <si>
    <t xml:space="preserve">Anaerobic + aerobic ETP, RO</t>
  </si>
  <si>
    <t xml:space="preserve">Haleeb Foods Ltd</t>
  </si>
  <si>
    <t xml:space="preserve">Haleeb</t>
  </si>
  <si>
    <t xml:space="preserve">Dairy processing effluent</t>
  </si>
  <si>
    <t xml:space="preserve">Dairy ETP</t>
  </si>
  <si>
    <t xml:space="preserve">Nestlé Pakistan Ltd — Sheikhupura Factory</t>
  </si>
  <si>
    <t xml:space="preserve">Nestlé</t>
  </si>
  <si>
    <t xml:space="preserve">Dairy / Beverages / Water</t>
  </si>
  <si>
    <t xml:space="preserve">Sheikhupura</t>
  </si>
  <si>
    <t xml:space="preserve">Multi-plant dairy/water operation; global water-stewardship commitments</t>
  </si>
  <si>
    <t xml:space="preserve">Dairy ETP, water reuse, RO</t>
  </si>
  <si>
    <t xml:space="preserve">Group engineering intro; water-stewardship angle</t>
  </si>
  <si>
    <t xml:space="preserve">Ghani Glass Ltd</t>
  </si>
  <si>
    <t xml:space="preserve">Ghani Group</t>
  </si>
  <si>
    <t xml:space="preserve">Container / Float Glass</t>
  </si>
  <si>
    <t xml:space="preserve">Sheikhupura / Hattar</t>
  </si>
  <si>
    <t xml:space="preserve">Large glass plants — cooling &amp; process water</t>
  </si>
  <si>
    <t xml:space="preserve">Cooling water, softening, RO</t>
  </si>
  <si>
    <t xml:space="preserve">Plant Manager</t>
  </si>
  <si>
    <t xml:space="preserve">Hui Huang Sanitary Solutions (Pvt) Ltd</t>
  </si>
  <si>
    <t xml:space="preserve">Sanitary ware &amp; tiles (new plant)</t>
  </si>
  <si>
    <t xml:space="preserve">Allama Iqbal Industrial City, Faisalabad</t>
  </si>
  <si>
    <t xml:space="preserve">Greenfield ceramics plant — slip / glaze wastewater and process-water recycling</t>
  </si>
  <si>
    <t xml:space="preserve">Softening, RO, cooling-water treatment</t>
  </si>
  <si>
    <t xml:space="preserve">Punjab EPD EIA register: establishment of ceramic sanitary-ware and tile plant</t>
  </si>
  <si>
    <t xml:space="preserve">Kasur Tanneries (Pvt) Ltd</t>
  </si>
  <si>
    <t xml:space="preserve">Tannery</t>
  </si>
  <si>
    <t xml:space="preserve">Chrome-bearing tannery effluent — chrome recovery and ETP</t>
  </si>
  <si>
    <t xml:space="preserve">Chrome recovery, CETP, ETP</t>
  </si>
  <si>
    <t xml:space="preserve">Plant Manager; Tanners' association</t>
  </si>
  <si>
    <t xml:space="preserve">Punjab EPD EIA 2025 filing</t>
  </si>
  <si>
    <t xml:space="preserve">https://epd.punjab.gov.pk/system/files/2025%20253.pdf</t>
  </si>
  <si>
    <t xml:space="preserve">Korangi Tannery Zone (Sector 7-A) — CETP</t>
  </si>
  <si>
    <t xml:space="preserve">Pakistan Tanners Association / KWSC</t>
  </si>
  <si>
    <t xml:space="preserve">Tannery CETP</t>
  </si>
  <si>
    <t xml:space="preserve">Karachi</t>
  </si>
  <si>
    <t xml:space="preserve">Tannery cluster effluent</t>
  </si>
  <si>
    <t xml:space="preserve">Chrome recovery + CETP</t>
  </si>
  <si>
    <t xml:space="preserve">Project Director; Chief Engineer; Procurement/Tender Cell</t>
  </si>
  <si>
    <t xml:space="preserve">Tanners association meeting</t>
  </si>
  <si>
    <t xml:space="preserve">Cluster target — tender route</t>
  </si>
  <si>
    <t xml:space="preserve">Attock Refinery Ltd</t>
  </si>
  <si>
    <t xml:space="preserve">Attock Group</t>
  </si>
  <si>
    <t xml:space="preserve">Refinery</t>
  </si>
  <si>
    <t xml:space="preserve">Refinery upgrade programme; effluent &amp; process water</t>
  </si>
  <si>
    <t xml:space="preserve">Refinery ETP, RO reuse</t>
  </si>
  <si>
    <t xml:space="preserve">Plant Manager; Chemistry/Water Treatment Manager; O&amp;M Manager; Procurement Manager</t>
  </si>
  <si>
    <t xml:space="preserve">Use PRL/PARCO references</t>
  </si>
  <si>
    <t xml:space="preserve">Aga Khan University Hospital</t>
  </si>
  <si>
    <t xml:space="preserve">AKDN</t>
  </si>
  <si>
    <t xml:space="preserve">Tertiary Hospital (dialysis, CSSD, STP)</t>
  </si>
  <si>
    <t xml:space="preserve">Large tertiary hospital — dialysis water, CSSD, STP</t>
  </si>
  <si>
    <t xml:space="preserve">Dialysis-grade RO, STP</t>
  </si>
  <si>
    <t xml:space="preserve">Director Facilities; Biomedical Engineering</t>
  </si>
  <si>
    <t xml:space="preserve">Facilities head meeting</t>
  </si>
  <si>
    <t xml:space="preserve">Arber Pharma</t>
  </si>
  <si>
    <t xml:space="preserve">New formulation plant</t>
  </si>
  <si>
    <t xml:space="preserve">Sundar Industrial Estate, Lahore</t>
  </si>
  <si>
    <t xml:space="preserve">Greenfield plant — purified water system and ETP</t>
  </si>
  <si>
    <t xml:space="preserve">2-pass RO + EDI purified water, UF, containerized ETP</t>
  </si>
  <si>
    <t xml:space="preserve">Head of Engineering; Utilities Manager; QA / Validation</t>
  </si>
  <si>
    <t xml:space="preserve">Punjab EPD EIA register: construction of pharmaceutical facility</t>
  </si>
  <si>
    <t xml:space="preserve">Bio Grow Pharmaceuticals (Pvt) Ltd</t>
  </si>
  <si>
    <t xml:space="preserve">Quaid-e-Azam Business Park, Sheikhupura</t>
  </si>
  <si>
    <t xml:space="preserve">Punjab EPD EIA register: construction of pharmaceutical factory (QABP SEZ)</t>
  </si>
  <si>
    <t xml:space="preserve">Crystolite Pharmaceuticals</t>
  </si>
  <si>
    <t xml:space="preserve">National Industrial Zone, Rawat (Rawalpindi)</t>
  </si>
  <si>
    <t xml:space="preserve">Punjab EPD EIA register: construction on plots 70–72-B, NIZ Rawat</t>
  </si>
  <si>
    <t xml:space="preserve">Gist Pharmaceuticals (Pvt) Ltd</t>
  </si>
  <si>
    <t xml:space="preserve">Veterinary pharmaceuticals (new plant)</t>
  </si>
  <si>
    <t xml:space="preserve">Sheikhupura–Sharqpur Road</t>
  </si>
  <si>
    <t xml:space="preserve">Punjab EPD EIA register: establishment of veterinary pharmaceutical facility</t>
  </si>
  <si>
    <t xml:space="preserve">GSK Pakistan Ltd</t>
  </si>
  <si>
    <t xml:space="preserve">GSK</t>
  </si>
  <si>
    <t xml:space="preserve">Formulation (orals, sterile)</t>
  </si>
  <si>
    <t xml:space="preserve">Multinational pharma — purified water, WFI, effluent</t>
  </si>
  <si>
    <t xml:space="preserve">Purified water (RO/EDI), ETP</t>
  </si>
  <si>
    <t xml:space="preserve">Plant Director; Head of Engineering; Utilities Manager; QA/Validation Manager; Procurement Manager</t>
  </si>
  <si>
    <t xml:space="preserve">Intro via engineering head</t>
  </si>
  <si>
    <t xml:space="preserve">Health Capsules Pakistan (Pvt) Ltd</t>
  </si>
  <si>
    <t xml:space="preserve">Capsule shells (new plant)</t>
  </si>
  <si>
    <t xml:space="preserve">M-3 Industrial City, Faisalabad</t>
  </si>
  <si>
    <t xml:space="preserve">Gelatine capsule production — purified process water and effluent treatment</t>
  </si>
  <si>
    <t xml:space="preserve">Punjab EPD EIA register: establishment of capsule-shell manufacturing plant</t>
  </si>
  <si>
    <t xml:space="preserve">Neutro Pharma (Pvt) Ltd</t>
  </si>
  <si>
    <t xml:space="preserve">Ferozewala, Sheikhupura</t>
  </si>
  <si>
    <t xml:space="preserve">Punjab EPD EIA register: construction of pharmaceutical unit</t>
  </si>
  <si>
    <t xml:space="preserve">Pharmagen Ltd</t>
  </si>
  <si>
    <t xml:space="preserve">Formulation (extension)</t>
  </si>
  <si>
    <t xml:space="preserve">Ferozepur Road, Lahore</t>
  </si>
  <si>
    <t xml:space="preserve">Plant extension — purified water capacity, boiler-feed water and ETP</t>
  </si>
  <si>
    <t xml:space="preserve">Punjab EPD EIA register: extension of manufacturing unit + biomass boiler</t>
  </si>
  <si>
    <t xml:space="preserve">Shaukat Khanum Memorial Cancer Hospital — Karachi (project)</t>
  </si>
  <si>
    <t xml:space="preserve">SKMCH&amp;RC</t>
  </si>
  <si>
    <t xml:space="preserve">Tertiary Hospital (new build)</t>
  </si>
  <si>
    <t xml:space="preserve">New Karachi hospital build — greenfield utilities</t>
  </si>
  <si>
    <t xml:space="preserve">WTP + STP package</t>
  </si>
  <si>
    <t xml:space="preserve">Director Projects / Facilities</t>
  </si>
  <si>
    <t xml:space="preserve">New hospital build in Karachi (under construction / phased)</t>
  </si>
  <si>
    <t xml:space="preserve">Engage project team</t>
  </si>
  <si>
    <t xml:space="preserve">Under construction / phased — greenfield signal</t>
  </si>
  <si>
    <t xml:space="preserve">Sindh Institute of Urology &amp; Transplantation (SIUT)</t>
  </si>
  <si>
    <t xml:space="preserve">SIUT</t>
  </si>
  <si>
    <t xml:space="preserve">Renal / Dialysis</t>
  </si>
  <si>
    <t xml:space="preserve">Major renal/dialysis centre — ultrapure dialysis water</t>
  </si>
  <si>
    <t xml:space="preserve">Dialysis-grade double-pass RO</t>
  </si>
  <si>
    <t xml:space="preserve">Biomedical Engineering Head</t>
  </si>
  <si>
    <t xml:space="preserve">Synogen Pharma (Pvt) Ltd</t>
  </si>
  <si>
    <t xml:space="preserve">Greenfield plant — needs purified water (2-pass RO + EDI), validated loop and effluent treatment</t>
  </si>
  <si>
    <t xml:space="preserve">Punjab EPD EIA register: establishment of pharmaceutical manufacturing unit (QABP SEZ)</t>
  </si>
  <si>
    <t xml:space="preserve">The Indus Hospital &amp; Health Network</t>
  </si>
  <si>
    <t xml:space="preserve">Indus</t>
  </si>
  <si>
    <t xml:space="preserve">Hospital Network</t>
  </si>
  <si>
    <t xml:space="preserve">Karachi (network)</t>
  </si>
  <si>
    <t xml:space="preserve">Expanding hospital network</t>
  </si>
  <si>
    <t xml:space="preserve">RO, STP</t>
  </si>
  <si>
    <t xml:space="preserve">Director Facilities</t>
  </si>
  <si>
    <t xml:space="preserve">Huaneng Shandong Ruyi (Pakistan) Energy (Pvt) Ltd</t>
  </si>
  <si>
    <t xml:space="preserve">Huaneng / Ruyi</t>
  </si>
  <si>
    <t xml:space="preserve">Coal 1,320 MW</t>
  </si>
  <si>
    <t xml:space="preserve">Sahiwal</t>
  </si>
  <si>
    <t xml:space="preserve">1,320 MW coal plant — inland water constraints</t>
  </si>
  <si>
    <t xml:space="preserve">Cooling blowdown recycling, ZLD</t>
  </si>
  <si>
    <t xml:space="preserve">The Hub Power Company Ltd (HUBCO)</t>
  </si>
  <si>
    <t xml:space="preserve">HUBCO</t>
  </si>
  <si>
    <t xml:space="preserve">Thermal (Oil) / Holding</t>
  </si>
  <si>
    <t xml:space="preserve">Hub</t>
  </si>
  <si>
    <t xml:space="preserve">Balochistan</t>
  </si>
  <si>
    <t xml:space="preserve">1,320 MW coal + oil plant at Hub — seawater-based utilities, ZLD pressure</t>
  </si>
  <si>
    <t xml:space="preserve">SWRO, DM, ETP, ZLD</t>
  </si>
  <si>
    <t xml:space="preserve">O&amp;M upgrade / ZLD pitch</t>
  </si>
  <si>
    <t xml:space="preserve">Alfalah Paper &amp; Board Mills</t>
  </si>
  <si>
    <t xml:space="preserve">Paper &amp; board (new mill)</t>
  </si>
  <si>
    <t xml:space="preserve">New paper mill — very high water use, fibre-laden effluent, water reuse</t>
  </si>
  <si>
    <t xml:space="preserve">Paper-mill ETP, water reuse</t>
  </si>
  <si>
    <t xml:space="preserve">GM Technical; Utilities Manager</t>
  </si>
  <si>
    <t xml:space="preserve">Punjab EPD EIA 2025: installation of paper and board mill</t>
  </si>
  <si>
    <t xml:space="preserve">https://epd.punjab.gov.pk/system/files/2025%20304.pdf</t>
  </si>
  <si>
    <t xml:space="preserve">Century Paper &amp; Board Mills Ltd</t>
  </si>
  <si>
    <t xml:space="preserve">Lakson Group</t>
  </si>
  <si>
    <t xml:space="preserve">Paper &amp; Board</t>
  </si>
  <si>
    <t xml:space="preserve">Paper &amp; board — high effluent</t>
  </si>
  <si>
    <t xml:space="preserve">Paper-mill ETP, recycling</t>
  </si>
  <si>
    <t xml:space="preserve">Packages Ltd</t>
  </si>
  <si>
    <t xml:space="preserve">Packages Group</t>
  </si>
  <si>
    <t xml:space="preserve">Packaging</t>
  </si>
  <si>
    <t xml:space="preserve">Lahore / Kasur</t>
  </si>
  <si>
    <t xml:space="preserve">Paper &amp; board mill — very high water use and effluent</t>
  </si>
  <si>
    <t xml:space="preserve">Trust Pack Industries (Pvt) Ltd</t>
  </si>
  <si>
    <t xml:space="preserve">Multi-layer aseptic packaging (new unit)</t>
  </si>
  <si>
    <t xml:space="preserve">Lahore–Sheikhupura Road</t>
  </si>
  <si>
    <t xml:space="preserve">New packaging unit — process / cooling water and effluent</t>
  </si>
  <si>
    <t xml:space="preserve">Punjab EPD EIA register: multi-layer aseptic packaging unit</t>
  </si>
  <si>
    <t xml:space="preserve">Agha Steel Industries Ltd</t>
  </si>
  <si>
    <t xml:space="preserve">Agha</t>
  </si>
  <si>
    <t xml:space="preserve">Rebar / Billets</t>
  </si>
  <si>
    <t xml:space="preserve">Port Qasim steel plant — water reuse</t>
  </si>
  <si>
    <t xml:space="preserve">Cooling water, ETP</t>
  </si>
  <si>
    <t xml:space="preserve">Plant Head; Utilities Manager</t>
  </si>
  <si>
    <t xml:space="preserve">Aisha Steel Mills Ltd</t>
  </si>
  <si>
    <t xml:space="preserve">Arif Habib Group</t>
  </si>
  <si>
    <t xml:space="preserve">Cold Rolled / Galvanized</t>
  </si>
  <si>
    <t xml:space="preserve">Cold-rolling / galvanizing — acid pickling effluent</t>
  </si>
  <si>
    <t xml:space="preserve">Pickling-acid effluent treatment, RO</t>
  </si>
  <si>
    <t xml:space="preserve">Plant Head; EHS Manager</t>
  </si>
  <si>
    <t xml:space="preserve">Amreli Steels Ltd</t>
  </si>
  <si>
    <t xml:space="preserve">Amreli</t>
  </si>
  <si>
    <t xml:space="preserve">Rebar / Long Steel</t>
  </si>
  <si>
    <t xml:space="preserve">Karachi (Dhabeji)</t>
  </si>
  <si>
    <t xml:space="preserve">Large steel plant — cooling &amp; scale water</t>
  </si>
  <si>
    <t xml:space="preserve">Cooling water treatment, ETP, recycling</t>
  </si>
  <si>
    <t xml:space="preserve">Mughal Iron &amp; Steel Industries Ltd</t>
  </si>
  <si>
    <t xml:space="preserve">Mughal</t>
  </si>
  <si>
    <t xml:space="preserve">Long Steel / Non-ferrous</t>
  </si>
  <si>
    <t xml:space="preserve">Lahore steel plant</t>
  </si>
  <si>
    <t xml:space="preserve">Precision Forging (Pvt) Ltd</t>
  </si>
  <si>
    <t xml:space="preserve">Forging / auto parts (new plant)</t>
  </si>
  <si>
    <t xml:space="preserve">Kot Abdul Malik, Sheikhupura</t>
  </si>
  <si>
    <t xml:space="preserve">Forging and heat treatment — quench / cooling water and oily effluent</t>
  </si>
  <si>
    <t xml:space="preserve">Cooling-water treatment, acid-effluent ETP, RO reuse</t>
  </si>
  <si>
    <t xml:space="preserve">Plant Head; Utilities Manager; EHS</t>
  </si>
  <si>
    <t xml:space="preserve">Punjab EPD EIA register: construction of auto-parts forging unit</t>
  </si>
  <si>
    <t xml:space="preserve">Al-Abbas Sugar Mills Ltd</t>
  </si>
  <si>
    <t xml:space="preserve">Al-Abbas</t>
  </si>
  <si>
    <t xml:space="preserve">Sugar / Ethanol</t>
  </si>
  <si>
    <t xml:space="preserve">Mirwah Gorchani</t>
  </si>
  <si>
    <t xml:space="preserve">Sugar + ethanol — spent-wash</t>
  </si>
  <si>
    <t xml:space="preserve">Distillery effluent, ZLD</t>
  </si>
  <si>
    <t xml:space="preserve">Habib Sugar Mills Ltd — Sugar &amp; Ethanol Unit (Nawabshah)</t>
  </si>
  <si>
    <t xml:space="preserve">Habib Group</t>
  </si>
  <si>
    <t xml:space="preserve">Nawabshah</t>
  </si>
  <si>
    <t xml:space="preserve">Sugar + ethanol distillery — spent-wash treatment</t>
  </si>
  <si>
    <t xml:space="preserve">Distillery effluent pitch</t>
  </si>
  <si>
    <t xml:space="preserve">Habib group textile division already in WR list</t>
  </si>
  <si>
    <t xml:space="preserve">JDW Sugar Mills Ltd</t>
  </si>
  <si>
    <t xml:space="preserve">JDW Group</t>
  </si>
  <si>
    <t xml:space="preserve">Sugar (multi-unit)</t>
  </si>
  <si>
    <t xml:space="preserve">Rahim Yar Khan / Ghotki</t>
  </si>
  <si>
    <t xml:space="preserve">Largest sugar group (multi-unit) — high effluent + co-gen boiler feed</t>
  </si>
  <si>
    <t xml:space="preserve">Boiler-feed RO/DM, ETP, condensate polishing</t>
  </si>
  <si>
    <t xml:space="preserve">GM Technical; Co-gen Plant Manager</t>
  </si>
  <si>
    <t xml:space="preserve">Off-season (pre-crushing) upgrade pitch</t>
  </si>
  <si>
    <t xml:space="preserve">Azgard Nine Ltd</t>
  </si>
  <si>
    <t xml:space="preserve">JS Group</t>
  </si>
  <si>
    <t xml:space="preserve">Denim</t>
  </si>
  <si>
    <t xml:space="preserve">Dyeing / washing effluent with high COD and colour; export buyers require ZDHC-compliant ETP and water reuse</t>
  </si>
  <si>
    <t xml:space="preserve">ETP (MBR / MBBR), UF + BWRO recycling, HBWRO</t>
  </si>
  <si>
    <t xml:space="preserve">Director Technical; GM Utilities; ETP Manager; Compliance Manager</t>
  </si>
  <si>
    <t xml:space="preserve">PSX listed. Accord: three sites — 5,981, 6,193 (Manga) and 1,616 workers</t>
  </si>
  <si>
    <t xml:space="preserve">Introductory meeting with utilities / engineering head</t>
  </si>
  <si>
    <t xml:space="preserve">https://tickeranalysts.com/stocks/sector/textile-composite</t>
  </si>
  <si>
    <t xml:space="preserve">Beacon Impex (Pvt) Ltd</t>
  </si>
  <si>
    <t xml:space="preserve">Knit composite — dyeing / printing</t>
  </si>
  <si>
    <t xml:space="preserve">Processing-unit extension with new ETP; candidate for MBBR / MBR upgrade and treated-water reuse</t>
  </si>
  <si>
    <t xml:space="preserve">EIA: extension of dyeing / printing unit + ETP (~564 m³/day). Accord: units of 2,200–4,366 workers</t>
  </si>
  <si>
    <t xml:space="preserve">https://epd.punjab.gov.pk/system/files/105.%20Beacon%20Impex%20EIA%20for%20extension.pdf</t>
  </si>
  <si>
    <t xml:space="preserve">Chenab Ltd</t>
  </si>
  <si>
    <t xml:space="preserve">Chenab Group</t>
  </si>
  <si>
    <t xml:space="preserve">Home Textile</t>
  </si>
  <si>
    <t xml:space="preserve">Home-textile processing (Faisalabad) — Faisalabad municipal WWTP push raises compliance pressure</t>
  </si>
  <si>
    <t xml:space="preserve">ETP + recycling</t>
  </si>
  <si>
    <t xml:space="preserve">Director Technical; GM Utilities; ETP Manager; Sustainability/Compliance Manager; Procurement Manager</t>
  </si>
  <si>
    <t xml:space="preserve">Cottonera (Pvt) Ltd</t>
  </si>
  <si>
    <t xml:space="preserve">Cotton &amp; yarn dyeing (new unit)</t>
  </si>
  <si>
    <t xml:space="preserve">New yarn-dyeing unit — ETP and process-water softening / RO</t>
  </si>
  <si>
    <t xml:space="preserve">Punjab EPD EIA register: establishment of cotton and yarn dyeing unit, 24-km Multan Road</t>
  </si>
  <si>
    <t xml:space="preserve">Crescent Bahuman Ltd</t>
  </si>
  <si>
    <t xml:space="preserve">Crescent Group</t>
  </si>
  <si>
    <t xml:space="preserve">Pindi Bhattian</t>
  </si>
  <si>
    <t xml:space="preserve">Large denim plant — high effluent load</t>
  </si>
  <si>
    <t xml:space="preserve">MBR ETP + recycling</t>
  </si>
  <si>
    <t xml:space="preserve">Intro with denim reference sites (Soorty, Artistic)</t>
  </si>
  <si>
    <t xml:space="preserve">Crescent group already in WR list</t>
  </si>
  <si>
    <t xml:space="preserve">Interloop Ltd</t>
  </si>
  <si>
    <t xml:space="preserve">Interloop</t>
  </si>
  <si>
    <t xml:space="preserve">Hosiery / Knitwear / Denim</t>
  </si>
  <si>
    <t xml:space="preserve">One of Pakistan's largest hosiery/denim exporters; multiple Faisalabad/Lahore plants; strong global-brand ZDHC pressure</t>
  </si>
  <si>
    <t xml:space="preserve">ETP + recycling, ZLD roadmap</t>
  </si>
  <si>
    <t xml:space="preserve">Sustainability-led intro via ZDHC angle</t>
  </si>
  <si>
    <t xml:space="preserve">Leathertex Gloving (Pvt) Ltd</t>
  </si>
  <si>
    <t xml:space="preserve">Garments + new dyeing / finishing unit</t>
  </si>
  <si>
    <t xml:space="preserve">New 40 TPD dyeing unit with a 100 m³/hr WWTP (activated sludge + colour polishing)</t>
  </si>
  <si>
    <t xml:space="preserve">EIA (Oct-2025): new dyeing unit 40 TPD; WWTP 100 m³/hr</t>
  </si>
  <si>
    <t xml:space="preserve">https://epd.punjab.gov.pk/system/files/2025%2059.pdf</t>
  </si>
  <si>
    <t xml:space="preserve">Madina Collars (Pvt) Ltd</t>
  </si>
  <si>
    <t xml:space="preserve">Dyeing + collar production</t>
  </si>
  <si>
    <t xml:space="preserve">New 25 TPD dyeing unit with ZDHC-aligned ETP and boiler-feed water</t>
  </si>
  <si>
    <t xml:space="preserve">EIA 2025: new dyeing unit 25 TPD; ETP to ZDHC guidelines; 3 × 5 TPH boilers</t>
  </si>
  <si>
    <t xml:space="preserve">https://epd.punjab.gov.pk/system/files/2025%20225.pdf</t>
  </si>
  <si>
    <t xml:space="preserve">Sarena Textile Industries (Pvt) Ltd</t>
  </si>
  <si>
    <t xml:space="preserve">Composite — yarn dyeing, weaving, dyeing / printing, apparel</t>
  </si>
  <si>
    <t xml:space="preserve">Very large dyeing / printing effluent (ETP 6,000 m³/day planned) plus boiler-feed water for 3 boilers and steam turbines</t>
  </si>
  <si>
    <t xml:space="preserve">EIA 2025: extension of processing unit; ETP 6,000 m³/day; boilers 30/35/20 TPH; 10 MW steam turbines</t>
  </si>
  <si>
    <t xml:space="preserve">https://epd.punjab.gov.pk/system/files/2025%20312.pdf</t>
  </si>
  <si>
    <t xml:space="preserve">Style Textile (Pvt) Ltd</t>
  </si>
  <si>
    <t xml:space="preserve">Style Group</t>
  </si>
  <si>
    <t xml:space="preserve">Knitwear / Apparel</t>
  </si>
  <si>
    <t xml:space="preserve">Large knit/apparel exporter (Lahore)</t>
  </si>
  <si>
    <t xml:space="preserve">Tauseef Enterprises (Pvt) Ltd</t>
  </si>
  <si>
    <t xml:space="preserve">Dyeing &amp; processing / socks</t>
  </si>
  <si>
    <t xml:space="preserve">New 45 TPD dyeing unit with ETP upgrade to 75 m³/hr and an RO plant to recycle treated effluent</t>
  </si>
  <si>
    <t xml:space="preserve">EIA: new dyeing &amp; processing unit 45 TPD; ETP upgrade 75 m³/hr; RO recycling of treated water. Accord: socks division 1,050 workers</t>
  </si>
  <si>
    <t xml:space="preserve">https://epd.punjab.gov.pk/system/files/20.%20EIA%20Report%20Tauseef%20Enterprises%2C%20Faisalabad.pdf</t>
  </si>
  <si>
    <t xml:space="preserve">US Apparel &amp; Textiles (Pvt) Ltd</t>
  </si>
  <si>
    <t xml:space="preserve">US Group</t>
  </si>
  <si>
    <t xml:space="preserve">Denim / Apparel</t>
  </si>
  <si>
    <t xml:space="preserve">Large denim/apparel group (Lahore)</t>
  </si>
  <si>
    <t xml:space="preserve">Denim ETP + recycling</t>
  </si>
  <si>
    <t xml:space="preserve">Agriauto Industries Ltd</t>
  </si>
  <si>
    <t xml:space="preserve">Auto parts</t>
  </si>
  <si>
    <t xml:space="preserve">Paint-shop and phosphating effluent; process water</t>
  </si>
  <si>
    <t xml:space="preserve">Nationally established manufacturer (PSX listed)</t>
  </si>
  <si>
    <t xml:space="preserve">Al-Ghazi Tractors Ltd</t>
  </si>
  <si>
    <t xml:space="preserve">Al-Futtaim</t>
  </si>
  <si>
    <t xml:space="preserve">Tractors</t>
  </si>
  <si>
    <t xml:space="preserve">Dera Ghazi Khan</t>
  </si>
  <si>
    <t xml:space="preserve">Baluchistan Wheels Ltd</t>
  </si>
  <si>
    <t xml:space="preserve">Wheel rims</t>
  </si>
  <si>
    <t xml:space="preserve">Ghandhara Industries Ltd (Isuzu)</t>
  </si>
  <si>
    <t xml:space="preserve">Bibojee Group</t>
  </si>
  <si>
    <t xml:space="preserve">Truck Assembly</t>
  </si>
  <si>
    <t xml:space="preserve">Hinopak Motors Ltd</t>
  </si>
  <si>
    <t xml:space="preserve">Hino / Toyota Tsusho</t>
  </si>
  <si>
    <t xml:space="preserve">Truck / Bus Assembly</t>
  </si>
  <si>
    <t xml:space="preserve">Hyundai Nishat Motor (Pvt) Ltd</t>
  </si>
  <si>
    <t xml:space="preserve">Nishat Group</t>
  </si>
  <si>
    <t xml:space="preserve">Nishat group already a WR contact</t>
  </si>
  <si>
    <t xml:space="preserve">Kia Lucky Motors Pakistan Ltd</t>
  </si>
  <si>
    <t xml:space="preserve">Lucky Group</t>
  </si>
  <si>
    <t xml:space="preserve">Karachi (Bin Qasim)</t>
  </si>
  <si>
    <t xml:space="preserve">Lucky group already a WR contact</t>
  </si>
  <si>
    <t xml:space="preserve">Loads Ltd</t>
  </si>
  <si>
    <t xml:space="preserve">Auto parts (radiators / exhausts)</t>
  </si>
  <si>
    <t xml:space="preserve">Master Changan Motors Ltd</t>
  </si>
  <si>
    <t xml:space="preserve">Master Group</t>
  </si>
  <si>
    <t xml:space="preserve">Millat Tractors Ltd</t>
  </si>
  <si>
    <t xml:space="preserve">Millat</t>
  </si>
  <si>
    <t xml:space="preserve">Panther Tyres Ltd</t>
  </si>
  <si>
    <t xml:space="preserve">Tyres</t>
  </si>
  <si>
    <t xml:space="preserve">Sazgar Engineering Works Ltd</t>
  </si>
  <si>
    <t xml:space="preserve">Sazgar</t>
  </si>
  <si>
    <t xml:space="preserve">Yamaha Motor Pakistan (Pvt) Ltd</t>
  </si>
  <si>
    <t xml:space="preserve">Yamaha</t>
  </si>
  <si>
    <t xml:space="preserve">Motorcycles</t>
  </si>
  <si>
    <t xml:space="preserve">Atlas Battery Ltd</t>
  </si>
  <si>
    <t xml:space="preserve">Lead-Acid Batteries</t>
  </si>
  <si>
    <t xml:space="preserve">Lead and acid effluent under strict discharge limits</t>
  </si>
  <si>
    <t xml:space="preserve">Heavy-metal ETP</t>
  </si>
  <si>
    <t xml:space="preserve">Plant Manager; EHS Manager</t>
  </si>
  <si>
    <t xml:space="preserve">Exide Pakistan Ltd</t>
  </si>
  <si>
    <t xml:space="preserve">Cherat Cement Co Ltd</t>
  </si>
  <si>
    <t xml:space="preserve">Ghulam Faruque Group</t>
  </si>
  <si>
    <t xml:space="preserve">Nowshera</t>
  </si>
  <si>
    <t xml:space="preserve">KPK</t>
  </si>
  <si>
    <t xml:space="preserve">Boiler feed for captive / waste-heat power; cooling water</t>
  </si>
  <si>
    <t xml:space="preserve">Fecto Cement Ltd</t>
  </si>
  <si>
    <t xml:space="preserve">Fecto Group</t>
  </si>
  <si>
    <t xml:space="preserve">Sangjani</t>
  </si>
  <si>
    <t xml:space="preserve">Flying Cement Co Ltd</t>
  </si>
  <si>
    <t xml:space="preserve">Flying Group</t>
  </si>
  <si>
    <t xml:space="preserve">Khushab</t>
  </si>
  <si>
    <t xml:space="preserve">Gharibwal Cement Ltd</t>
  </si>
  <si>
    <t xml:space="preserve">Jhelum</t>
  </si>
  <si>
    <t xml:space="preserve">Kohat Cement Co Ltd</t>
  </si>
  <si>
    <t xml:space="preserve">Kohat</t>
  </si>
  <si>
    <t xml:space="preserve">Lucky Cement Ltd — Pezu Plant</t>
  </si>
  <si>
    <t xml:space="preserve">Pezu (Lakki Marwat)</t>
  </si>
  <si>
    <t xml:space="preserve">Lucky Cement Karachi already a WR contact</t>
  </si>
  <si>
    <t xml:space="preserve">Akzo Nobel Pakistan Ltd</t>
  </si>
  <si>
    <t xml:space="preserve">AkzoNobel</t>
  </si>
  <si>
    <t xml:space="preserve">Paints &amp; Coatings</t>
  </si>
  <si>
    <t xml:space="preserve">Demineralised process water, brine and chemical effluent</t>
  </si>
  <si>
    <t xml:space="preserve">Archroma Pakistan Ltd</t>
  </si>
  <si>
    <t xml:space="preserve">Archroma</t>
  </si>
  <si>
    <t xml:space="preserve">Textile Dyes &amp; Chemicals</t>
  </si>
  <si>
    <t xml:space="preserve">BASF Pakistan (Pvt) Ltd</t>
  </si>
  <si>
    <t xml:space="preserve">BASF</t>
  </si>
  <si>
    <t xml:space="preserve">Specialty Chemicals</t>
  </si>
  <si>
    <t xml:space="preserve">Biafo Industries Ltd</t>
  </si>
  <si>
    <t xml:space="preserve">Industrial explosives</t>
  </si>
  <si>
    <t xml:space="preserve">Haripur</t>
  </si>
  <si>
    <t xml:space="preserve">PSX listed (chemical)</t>
  </si>
  <si>
    <t xml:space="preserve">https://tickeranalysts.com/stocks/sector/chemical</t>
  </si>
  <si>
    <t xml:space="preserve">Descon Oxychem Ltd</t>
  </si>
  <si>
    <t xml:space="preserve">Hydrogen Peroxide</t>
  </si>
  <si>
    <t xml:space="preserve">DIC Pakistan Ltd</t>
  </si>
  <si>
    <t xml:space="preserve">DIC</t>
  </si>
  <si>
    <t xml:space="preserve">Printing Inks</t>
  </si>
  <si>
    <t xml:space="preserve">Gatron (Industries) Ltd</t>
  </si>
  <si>
    <t xml:space="preserve">Novatex Group</t>
  </si>
  <si>
    <t xml:space="preserve">Polyester Filament / PET</t>
  </si>
  <si>
    <t xml:space="preserve">Hub / Karachi</t>
  </si>
  <si>
    <t xml:space="preserve">Novatex group already in WR list</t>
  </si>
  <si>
    <t xml:space="preserve">Ghani Chemical Industries Ltd</t>
  </si>
  <si>
    <t xml:space="preserve">Industrial Gases / Chemicals</t>
  </si>
  <si>
    <t xml:space="preserve">Lahore / Sheikhupura</t>
  </si>
  <si>
    <t xml:space="preserve">Ghani Chemworld Ltd</t>
  </si>
  <si>
    <t xml:space="preserve">Chemicals / gases</t>
  </si>
  <si>
    <t xml:space="preserve">Ghani group — Ghani Chemical Industries is also on this list</t>
  </si>
  <si>
    <t xml:space="preserve">Leiner Pak Gelatine Ltd</t>
  </si>
  <si>
    <t xml:space="preserve">Gelatine</t>
  </si>
  <si>
    <t xml:space="preserve">Nimir Industrial Chemicals Ltd</t>
  </si>
  <si>
    <t xml:space="preserve">Nimir</t>
  </si>
  <si>
    <t xml:space="preserve">Oleochemicals / Chlor-alkali</t>
  </si>
  <si>
    <t xml:space="preserve">Nimir Resins Ltd</t>
  </si>
  <si>
    <t xml:space="preserve">Nimir Group</t>
  </si>
  <si>
    <t xml:space="preserve">Resins</t>
  </si>
  <si>
    <t xml:space="preserve">Nimir group — Nimir Industrial Chemicals is also on this list</t>
  </si>
  <si>
    <t xml:space="preserve">Pakistan Oxygen Ltd</t>
  </si>
  <si>
    <t xml:space="preserve">Industrial Gases</t>
  </si>
  <si>
    <t xml:space="preserve">Karachi / Lahore</t>
  </si>
  <si>
    <t xml:space="preserve">Sardar Chemical Industries Ltd</t>
  </si>
  <si>
    <t xml:space="preserve">Chemicals</t>
  </si>
  <si>
    <t xml:space="preserve">To confirm</t>
  </si>
  <si>
    <t xml:space="preserve">Plant location to confirm</t>
  </si>
  <si>
    <t xml:space="preserve">Sitara Peroxide Ltd</t>
  </si>
  <si>
    <t xml:space="preserve">Wah Nobel Chemicals Ltd</t>
  </si>
  <si>
    <t xml:space="preserve">POF / Wah Nobel</t>
  </si>
  <si>
    <t xml:space="preserve">Industrial Chemicals</t>
  </si>
  <si>
    <t xml:space="preserve">Wah Cantt</t>
  </si>
  <si>
    <t xml:space="preserve">Associated Consulting Engineers (ACE)</t>
  </si>
  <si>
    <t xml:space="preserve">Water and wastewater packages inside larger projects</t>
  </si>
  <si>
    <t xml:space="preserve">Subcontract / specification partner</t>
  </si>
  <si>
    <t xml:space="preserve">BD Head; Procurement Manager</t>
  </si>
  <si>
    <t xml:space="preserve">Engineering Consultancy Services Punjab (ECSP)</t>
  </si>
  <si>
    <t xml:space="preserve">Government of Punjab</t>
  </si>
  <si>
    <t xml:space="preserve">Osmani &amp; Company (Pvt) Ltd</t>
  </si>
  <si>
    <t xml:space="preserve">Siemens Pakistan Engineering Co Ltd</t>
  </si>
  <si>
    <t xml:space="preserve">Siemens</t>
  </si>
  <si>
    <t xml:space="preserve">Electrical / Automation EPC</t>
  </si>
  <si>
    <t xml:space="preserve">Agritech Ltd</t>
  </si>
  <si>
    <t xml:space="preserve">Urea / SSP</t>
  </si>
  <si>
    <t xml:space="preserve">Iskanderabad (Mianwali)</t>
  </si>
  <si>
    <t xml:space="preserve">Very large cooling and boiler water use; cooling-tower blowdown</t>
  </si>
  <si>
    <t xml:space="preserve">Blowdown recycling, DM / RO, ZLD</t>
  </si>
  <si>
    <t xml:space="preserve">Utilities Manager; Plant Manager</t>
  </si>
  <si>
    <t xml:space="preserve">Pakarab Fertilizers Ltd</t>
  </si>
  <si>
    <t xml:space="preserve">Fatima Group</t>
  </si>
  <si>
    <t xml:space="preserve">CAN / NP / Urea</t>
  </si>
  <si>
    <t xml:space="preserve">Multan</t>
  </si>
  <si>
    <t xml:space="preserve">Fatima group (Fatima Fertilizer) already in WR list</t>
  </si>
  <si>
    <t xml:space="preserve">Al Shaheer Corporation Ltd</t>
  </si>
  <si>
    <t xml:space="preserve">Meat processing</t>
  </si>
  <si>
    <t xml:space="preserve">Process and boiler water; high-BOD effluent from processing and CIP</t>
  </si>
  <si>
    <t xml:space="preserve">PSX listed (food &amp; personal care)</t>
  </si>
  <si>
    <t xml:space="preserve">https://tickeranalysts.com/stocks/sector/food-and-personal-care-products</t>
  </si>
  <si>
    <t xml:space="preserve">At-Tahur Ltd (Prema)</t>
  </si>
  <si>
    <t xml:space="preserve">Bake Parlour (Pvt) Ltd</t>
  </si>
  <si>
    <t xml:space="preserve">Biscuits / Bakery</t>
  </si>
  <si>
    <t xml:space="preserve">Big Bird Foods (Pvt) Ltd</t>
  </si>
  <si>
    <t xml:space="preserve">Big Bird</t>
  </si>
  <si>
    <t xml:space="preserve">Poultry Processing</t>
  </si>
  <si>
    <t xml:space="preserve">Bunny's Ltd</t>
  </si>
  <si>
    <t xml:space="preserve">Bakery</t>
  </si>
  <si>
    <t xml:space="preserve">Continental Biscuits Ltd</t>
  </si>
  <si>
    <t xml:space="preserve">LU</t>
  </si>
  <si>
    <t xml:space="preserve">Biscuits</t>
  </si>
  <si>
    <t xml:space="preserve">Sukkur</t>
  </si>
  <si>
    <t xml:space="preserve">Dalda Foods Ltd</t>
  </si>
  <si>
    <t xml:space="preserve">Dalda</t>
  </si>
  <si>
    <t xml:space="preserve">Edible Oil &amp; Ghee</t>
  </si>
  <si>
    <t xml:space="preserve">Karachi / Kotri</t>
  </si>
  <si>
    <t xml:space="preserve">English Biscuit Manufacturers (Pvt) Ltd</t>
  </si>
  <si>
    <t xml:space="preserve">EBM</t>
  </si>
  <si>
    <t xml:space="preserve">Biscuits / Confectionery</t>
  </si>
  <si>
    <t xml:space="preserve">Fauji Foods Ltd</t>
  </si>
  <si>
    <t xml:space="preserve">Bhalwal</t>
  </si>
  <si>
    <t xml:space="preserve">Gillette Pakistan Ltd</t>
  </si>
  <si>
    <t xml:space="preserve">P&amp;G</t>
  </si>
  <si>
    <t xml:space="preserve">Personal-care manufacturing</t>
  </si>
  <si>
    <t xml:space="preserve">Listed under PSX food &amp; personal care sector</t>
  </si>
  <si>
    <t xml:space="preserve">Habib Oil Mills (Pvt) Ltd</t>
  </si>
  <si>
    <t xml:space="preserve">Edible Oil</t>
  </si>
  <si>
    <t xml:space="preserve">Habib Rice Products Ltd</t>
  </si>
  <si>
    <t xml:space="preserve">Rice processing</t>
  </si>
  <si>
    <t xml:space="preserve">PSX listed (sugar &amp; allied)</t>
  </si>
  <si>
    <t xml:space="preserve">https://tickeranalysts.com/stocks/sector/sugar-and-allied-industries</t>
  </si>
  <si>
    <t xml:space="preserve">K&amp;N's Foods (Pvt) Ltd</t>
  </si>
  <si>
    <t xml:space="preserve">K&amp;N's</t>
  </si>
  <si>
    <t xml:space="preserve">Matco Foods Ltd</t>
  </si>
  <si>
    <t xml:space="preserve">Matco</t>
  </si>
  <si>
    <t xml:space="preserve">Rice Processing / Export</t>
  </si>
  <si>
    <t xml:space="preserve">Mezan Group</t>
  </si>
  <si>
    <t xml:space="preserve">Mezan</t>
  </si>
  <si>
    <t xml:space="preserve">Beverages / Ghee / Tea</t>
  </si>
  <si>
    <t xml:space="preserve">Peshawar</t>
  </si>
  <si>
    <t xml:space="preserve">Mitchell's Fruit Farms Ltd</t>
  </si>
  <si>
    <t xml:space="preserve">Mitchell's</t>
  </si>
  <si>
    <t xml:space="preserve">Fruit Processing</t>
  </si>
  <si>
    <t xml:space="preserve">Renala Khurd</t>
  </si>
  <si>
    <t xml:space="preserve">Mondelez Pakistan Ltd</t>
  </si>
  <si>
    <t xml:space="preserve">Mondelez</t>
  </si>
  <si>
    <t xml:space="preserve">Confectionery</t>
  </si>
  <si>
    <t xml:space="preserve">Murree Brewery Company Ltd</t>
  </si>
  <si>
    <t xml:space="preserve">Murree Brewery</t>
  </si>
  <si>
    <t xml:space="preserve">Brewery / Distillery / Juices</t>
  </si>
  <si>
    <t xml:space="preserve">National Foods Ltd</t>
  </si>
  <si>
    <t xml:space="preserve">National Foods</t>
  </si>
  <si>
    <t xml:space="preserve">Food Processing</t>
  </si>
  <si>
    <t xml:space="preserve">Nestlé Pakistan Ltd — Islamabad Factory</t>
  </si>
  <si>
    <t xml:space="preserve">Bottled Water</t>
  </si>
  <si>
    <t xml:space="preserve">Islamabad</t>
  </si>
  <si>
    <t xml:space="preserve">ICT</t>
  </si>
  <si>
    <t xml:space="preserve">Nestlé Pakistan Ltd — Kabirwala Factory</t>
  </si>
  <si>
    <t xml:space="preserve">Kabirwala</t>
  </si>
  <si>
    <t xml:space="preserve">Nestlé Pakistan Ltd — Port Qasim Factory</t>
  </si>
  <si>
    <t xml:space="preserve">Food / Beverages</t>
  </si>
  <si>
    <t xml:space="preserve">Nishat Dairy (Pvt) Ltd</t>
  </si>
  <si>
    <t xml:space="preserve">Dairy Farm</t>
  </si>
  <si>
    <t xml:space="preserve">Sukheki (Pindi Bhattian)</t>
  </si>
  <si>
    <t xml:space="preserve">Punjab Oil Mills Ltd</t>
  </si>
  <si>
    <t xml:space="preserve">Punjab Oil</t>
  </si>
  <si>
    <t xml:space="preserve">Rafhan Maize Products Co Ltd</t>
  </si>
  <si>
    <t xml:space="preserve">Ingredion</t>
  </si>
  <si>
    <t xml:space="preserve">Corn Wet Milling / Starch</t>
  </si>
  <si>
    <t xml:space="preserve">Shakarganj Food Products Ltd</t>
  </si>
  <si>
    <t xml:space="preserve">Shakarganj / Bank Alfalah group</t>
  </si>
  <si>
    <t xml:space="preserve">Shan Foods (Pvt) Ltd</t>
  </si>
  <si>
    <t xml:space="preserve">Shan</t>
  </si>
  <si>
    <t xml:space="preserve">Shezan International Ltd</t>
  </si>
  <si>
    <t xml:space="preserve">Shezan</t>
  </si>
  <si>
    <t xml:space="preserve">Juices / Food Processing</t>
  </si>
  <si>
    <t xml:space="preserve">Lahore / Karachi</t>
  </si>
  <si>
    <t xml:space="preserve">Sufi Group of Industries</t>
  </si>
  <si>
    <t xml:space="preserve">Sufi</t>
  </si>
  <si>
    <t xml:space="preserve">Tapal Tea (Pvt) Ltd</t>
  </si>
  <si>
    <t xml:space="preserve">Tapal</t>
  </si>
  <si>
    <t xml:space="preserve">Tea Processing</t>
  </si>
  <si>
    <t xml:space="preserve">The Organic Meat Company Ltd</t>
  </si>
  <si>
    <t xml:space="preserve">High-BOD slaughter / processing effluent</t>
  </si>
  <si>
    <t xml:space="preserve">Unity Foods Ltd</t>
  </si>
  <si>
    <t xml:space="preserve">Unity</t>
  </si>
  <si>
    <t xml:space="preserve">Edible Oil Refining</t>
  </si>
  <si>
    <t xml:space="preserve">Baluchistan Glass Ltd</t>
  </si>
  <si>
    <t xml:space="preserve">Glass</t>
  </si>
  <si>
    <t xml:space="preserve">Cooling and process water</t>
  </si>
  <si>
    <t xml:space="preserve">PSX listed (glass &amp; ceramics)</t>
  </si>
  <si>
    <t xml:space="preserve">https://tickeranalysts.com/stocks/sector/glass-and-ceramics</t>
  </si>
  <si>
    <t xml:space="preserve">Emco Industries Ltd</t>
  </si>
  <si>
    <t xml:space="preserve">Ceramics / Insulators</t>
  </si>
  <si>
    <t xml:space="preserve">Frontier Ceramics Ltd</t>
  </si>
  <si>
    <t xml:space="preserve">Ceramic tiles</t>
  </si>
  <si>
    <t xml:space="preserve">Ghani Value Glass Ltd</t>
  </si>
  <si>
    <t xml:space="preserve">Ghani group — Ghani Glass is also on this list</t>
  </si>
  <si>
    <t xml:space="preserve">Karam Ceramics Ltd</t>
  </si>
  <si>
    <t xml:space="preserve">Master Tiles &amp; Ceramic Industries Ltd</t>
  </si>
  <si>
    <t xml:space="preserve">Ceramic Tiles</t>
  </si>
  <si>
    <t xml:space="preserve">Gujranwala</t>
  </si>
  <si>
    <t xml:space="preserve">Shabbir Tiles &amp; Ceramics Ltd</t>
  </si>
  <si>
    <t xml:space="preserve">Shabbir</t>
  </si>
  <si>
    <t xml:space="preserve">Tariq Glass Industries Ltd</t>
  </si>
  <si>
    <t xml:space="preserve">Tariq Group</t>
  </si>
  <si>
    <t xml:space="preserve">Float / Tableware Glass</t>
  </si>
  <si>
    <t xml:space="preserve">Bata Pakistan Ltd</t>
  </si>
  <si>
    <t xml:space="preserve">Bata</t>
  </si>
  <si>
    <t xml:space="preserve">Footwear / Tannery</t>
  </si>
  <si>
    <t xml:space="preserve">Batapur (Lahore)</t>
  </si>
  <si>
    <t xml:space="preserve">Chrome-bearing tannery effluent under strict NEQS</t>
  </si>
  <si>
    <t xml:space="preserve">Hafiz Tannery Industries (Pvt) Ltd</t>
  </si>
  <si>
    <t xml:space="preserve">Hub Leather (Pvt) Ltd</t>
  </si>
  <si>
    <t xml:space="preserve">Tannery / leather</t>
  </si>
  <si>
    <t xml:space="preserve">Accord (Jun-2025): 249 workers</t>
  </si>
  <si>
    <t xml:space="preserve">Re-instated — earlier wrongly removed as unconfirmed</t>
  </si>
  <si>
    <t xml:space="preserve">https://internationalaccord.org/wp-content/uploads/2025/06/250601-list-Factory-Disclosure-Report-Pakistan-June-2025.pdf</t>
  </si>
  <si>
    <t xml:space="preserve">Kasur Tannery Cluster — Combined Effluent Treatment Plant</t>
  </si>
  <si>
    <t xml:space="preserve">Kasur Tanneries / Punjab Govt</t>
  </si>
  <si>
    <t xml:space="preserve">Service Industries Ltd</t>
  </si>
  <si>
    <t xml:space="preserve">Service Group</t>
  </si>
  <si>
    <t xml:space="preserve">Gujrat / Lahore</t>
  </si>
  <si>
    <t xml:space="preserve">Service group (tyres) already visited</t>
  </si>
  <si>
    <t xml:space="preserve">Duddar Lead-Zinc Project (MCC)</t>
  </si>
  <si>
    <t xml:space="preserve">MCC</t>
  </si>
  <si>
    <t xml:space="preserve">Lead-Zinc</t>
  </si>
  <si>
    <t xml:space="preserve">Lasbela</t>
  </si>
  <si>
    <t xml:space="preserve">Mine water and brackish groundwater in water-scarce sites; camp sewage</t>
  </si>
  <si>
    <t xml:space="preserve">Brackish RO, mine-water treatment, STP</t>
  </si>
  <si>
    <t xml:space="preserve">Head of Projects; Utilities Manager</t>
  </si>
  <si>
    <t xml:space="preserve">Reko Diq Mining Company (Pvt) Ltd</t>
  </si>
  <si>
    <t xml:space="preserve">Barrick / GoP / GoB</t>
  </si>
  <si>
    <t xml:space="preserve">Copper-Gold (project)</t>
  </si>
  <si>
    <t xml:space="preserve">Chagai</t>
  </si>
  <si>
    <t xml:space="preserve">Construction phase — long-cycle</t>
  </si>
  <si>
    <t xml:space="preserve">Saindak Metals Ltd (MCC Resources)</t>
  </si>
  <si>
    <t xml:space="preserve">Copper-Gold</t>
  </si>
  <si>
    <t xml:space="preserve">Sino Sindh Resources (Pvt) Ltd</t>
  </si>
  <si>
    <t xml:space="preserve">Shanghai Electric</t>
  </si>
  <si>
    <t xml:space="preserve">Coal Mining</t>
  </si>
  <si>
    <t xml:space="preserve">Thar Block I</t>
  </si>
  <si>
    <t xml:space="preserve">Thar coal — linked to WR's SECMC relationship</t>
  </si>
  <si>
    <t xml:space="preserve">Attock Petroleum Ltd</t>
  </si>
  <si>
    <t xml:space="preserve">Oil Marketing</t>
  </si>
  <si>
    <t xml:space="preserve">Process and utility water, produced water, oily effluent</t>
  </si>
  <si>
    <t xml:space="preserve">Refinery / oily-water ETP, BWRO / SWRO</t>
  </si>
  <si>
    <t xml:space="preserve">Utilities Manager; Process Manager; Procurement</t>
  </si>
  <si>
    <t xml:space="preserve">Mari Energies Ltd</t>
  </si>
  <si>
    <t xml:space="preserve">Upstream E&amp;P</t>
  </si>
  <si>
    <t xml:space="preserve">Daharki</t>
  </si>
  <si>
    <t xml:space="preserve">Oil &amp; Gas Development Company Ltd (OGDCL)</t>
  </si>
  <si>
    <t xml:space="preserve">Islamabad (field ops nationwide)</t>
  </si>
  <si>
    <t xml:space="preserve">Pak-Arab Pipeline Co Ltd (PAPCO)</t>
  </si>
  <si>
    <t xml:space="preserve">PARCO / Govt</t>
  </si>
  <si>
    <t xml:space="preserve">Pipeline / Pump Stations</t>
  </si>
  <si>
    <t xml:space="preserve">PARCO group — PARCO is an existing WR customer</t>
  </si>
  <si>
    <t xml:space="preserve">Pakistan Petroleum Ltd (PPL)</t>
  </si>
  <si>
    <t xml:space="preserve">Karachi (Sui and other fields)</t>
  </si>
  <si>
    <t xml:space="preserve">Sui Northern Gas Pipelines Ltd</t>
  </si>
  <si>
    <t xml:space="preserve">Gas Utility / Compression</t>
  </si>
  <si>
    <t xml:space="preserve">Sui Southern Gas Company Ltd</t>
  </si>
  <si>
    <t xml:space="preserve">Gas Utility / Processing</t>
  </si>
  <si>
    <t xml:space="preserve">TotalEnergies PARCO Pakistan Ltd</t>
  </si>
  <si>
    <t xml:space="preserve">TotalEnergies / PARCO</t>
  </si>
  <si>
    <t xml:space="preserve">AGP Ltd</t>
  </si>
  <si>
    <t xml:space="preserve">AGP</t>
  </si>
  <si>
    <t xml:space="preserve">Formulation</t>
  </si>
  <si>
    <t xml:space="preserve">Purified water to pharmacopoeia standard and validated systems; pharma effluent</t>
  </si>
  <si>
    <t xml:space="preserve">BF Biosciences Ltd</t>
  </si>
  <si>
    <t xml:space="preserve">Biologics</t>
  </si>
  <si>
    <t xml:space="preserve">PSX listed (pharmaceuticals &amp; biotech)</t>
  </si>
  <si>
    <t xml:space="preserve">https://simplywall.st/stocks/pk/pharmaceuticals-biotech/market-cap-large</t>
  </si>
  <si>
    <t xml:space="preserve">Doctors Hospital &amp; Medical Center</t>
  </si>
  <si>
    <t xml:space="preserve">Tertiary Hospital</t>
  </si>
  <si>
    <t xml:space="preserve">Dialysis-grade water, sterile services, hospital sewage</t>
  </si>
  <si>
    <t xml:space="preserve">Dialysis RO, STP</t>
  </si>
  <si>
    <t xml:space="preserve">Ferozsons Laboratories Ltd</t>
  </si>
  <si>
    <t xml:space="preserve">Ferozsons</t>
  </si>
  <si>
    <t xml:space="preserve">Formulation / Biologics</t>
  </si>
  <si>
    <t xml:space="preserve">Haleon Pakistan Ltd</t>
  </si>
  <si>
    <t xml:space="preserve">Haleon</t>
  </si>
  <si>
    <t xml:space="preserve">Consumer Healthcare</t>
  </si>
  <si>
    <t xml:space="preserve">Karachi / Jamshoro</t>
  </si>
  <si>
    <t xml:space="preserve">Hudson Pharma (Pvt) Ltd</t>
  </si>
  <si>
    <t xml:space="preserve">Hudson</t>
  </si>
  <si>
    <t xml:space="preserve">IBL HealthCare Ltd</t>
  </si>
  <si>
    <t xml:space="preserve">IBL Group</t>
  </si>
  <si>
    <t xml:space="preserve">Jinnah Postgraduate Medical Centre (JPMC)</t>
  </si>
  <si>
    <t xml:space="preserve">Public Tertiary Hospital</t>
  </si>
  <si>
    <t xml:space="preserve">Kulsum International Hospital</t>
  </si>
  <si>
    <t xml:space="preserve">Liaquat National Hospital</t>
  </si>
  <si>
    <t xml:space="preserve">Marhaba Laboratories (Pvt) Ltd</t>
  </si>
  <si>
    <t xml:space="preserve">Punjab EPD EIA register lists a filing at QABP plots 12-B &amp; 13-B</t>
  </si>
  <si>
    <t xml:space="preserve">EIA filing listed; project scope not stated — confirm</t>
  </si>
  <si>
    <t xml:space="preserve">Maroof International Hospital</t>
  </si>
  <si>
    <t xml:space="preserve">Nabiqasim Industries (Pvt) Ltd</t>
  </si>
  <si>
    <t xml:space="preserve">Nabiqasim</t>
  </si>
  <si>
    <t xml:space="preserve">National Hospital &amp; Medical Centre</t>
  </si>
  <si>
    <t xml:space="preserve">Novartis Pharma (Pakistan) Ltd</t>
  </si>
  <si>
    <t xml:space="preserve">Ownership change reported 2023-24 — verify current owner/name</t>
  </si>
  <si>
    <t xml:space="preserve">Pakistan Kidney &amp; Liver Institute (PKLI)</t>
  </si>
  <si>
    <t xml:space="preserve">Renal / Transplant</t>
  </si>
  <si>
    <t xml:space="preserve">Platinum Pharmaceuticals (Pvt) Ltd</t>
  </si>
  <si>
    <t xml:space="preserve">Platinum</t>
  </si>
  <si>
    <t xml:space="preserve">Shaigan Pharmaceuticals (Pvt) Ltd</t>
  </si>
  <si>
    <t xml:space="preserve">Shaigan</t>
  </si>
  <si>
    <t xml:space="preserve">Shaukat Khanum Memorial Cancer Hospital — Lahore</t>
  </si>
  <si>
    <t xml:space="preserve">Shaukat Khanum Memorial Cancer Hospital — Peshawar</t>
  </si>
  <si>
    <t xml:space="preserve">Shifa International Hospitals Ltd</t>
  </si>
  <si>
    <t xml:space="preserve">Shifa</t>
  </si>
  <si>
    <t xml:space="preserve">Wilshire Laboratories (Pvt) Ltd</t>
  </si>
  <si>
    <t xml:space="preserve">Wilshire</t>
  </si>
  <si>
    <t xml:space="preserve">Ziauddin Hospitals</t>
  </si>
  <si>
    <t xml:space="preserve">Ziauddin</t>
  </si>
  <si>
    <t xml:space="preserve">Altern Energy Ltd</t>
  </si>
  <si>
    <t xml:space="preserve">Gas Engines</t>
  </si>
  <si>
    <t xml:space="preserve">Attock</t>
  </si>
  <si>
    <t xml:space="preserve">Boiler make-up, cooling water, plant effluent; growing ZLD expectation</t>
  </si>
  <si>
    <t xml:space="preserve">SWRO / BWRO, DM, mixed-bed, ETP, ZLD</t>
  </si>
  <si>
    <t xml:space="preserve">Chemistry / Water Treatment Manager; O&amp;M Manager</t>
  </si>
  <si>
    <t xml:space="preserve">Atlas Power Ltd</t>
  </si>
  <si>
    <t xml:space="preserve">Thermal</t>
  </si>
  <si>
    <t xml:space="preserve">Attock Gen Ltd</t>
  </si>
  <si>
    <t xml:space="preserve">Thermal IPP</t>
  </si>
  <si>
    <t xml:space="preserve">Nationally established IPP</t>
  </si>
  <si>
    <t xml:space="preserve">China Power Hub Generation Co (Pvt) Ltd</t>
  </si>
  <si>
    <t xml:space="preserve">HUBCO / CPIH</t>
  </si>
  <si>
    <t xml:space="preserve">Fauji Kabirwala Power Co Ltd</t>
  </si>
  <si>
    <t xml:space="preserve">Combined Cycle</t>
  </si>
  <si>
    <t xml:space="preserve">Foundation Power Co (Daharki) Ltd</t>
  </si>
  <si>
    <t xml:space="preserve">Halmore Power Generation Co Ltd</t>
  </si>
  <si>
    <t xml:space="preserve">Bhikki</t>
  </si>
  <si>
    <t xml:space="preserve">Kohinoor Energy Ltd</t>
  </si>
  <si>
    <t xml:space="preserve">Saigol Group</t>
  </si>
  <si>
    <t xml:space="preserve">Raiwind</t>
  </si>
  <si>
    <t xml:space="preserve">Saigol group (Kohinoor) already in WR list</t>
  </si>
  <si>
    <t xml:space="preserve">Kot Addu Power Company Ltd (KAPCO)</t>
  </si>
  <si>
    <t xml:space="preserve">Kot Addu</t>
  </si>
  <si>
    <t xml:space="preserve">Lalpir Power Ltd</t>
  </si>
  <si>
    <t xml:space="preserve">Muzaffargarh</t>
  </si>
  <si>
    <t xml:space="preserve">National Power Parks Management Co — Balloki / Haveli Bahadur Shah</t>
  </si>
  <si>
    <t xml:space="preserve">RLNG Combined Cycle</t>
  </si>
  <si>
    <t xml:space="preserve">Balloki / Jhang</t>
  </si>
  <si>
    <t xml:space="preserve">Nishat Chunian Power Ltd</t>
  </si>
  <si>
    <t xml:space="preserve">Nishat Chunian Group</t>
  </si>
  <si>
    <t xml:space="preserve">Jamber Kalan (Kasur)</t>
  </si>
  <si>
    <t xml:space="preserve">Nishat Chunian group already a WR contact</t>
  </si>
  <si>
    <t xml:space="preserve">Nishat Power Ltd</t>
  </si>
  <si>
    <t xml:space="preserve">Orient Power Co (Pvt) Ltd</t>
  </si>
  <si>
    <t xml:space="preserve">Orient Group</t>
  </si>
  <si>
    <t xml:space="preserve">Balloki</t>
  </si>
  <si>
    <t xml:space="preserve">Pakgen Power Ltd</t>
  </si>
  <si>
    <t xml:space="preserve">Pakistan Atomic Energy Commission — Chashma Nuclear Power Plants</t>
  </si>
  <si>
    <t xml:space="preserve">PAEC</t>
  </si>
  <si>
    <t xml:space="preserve">Nuclear</t>
  </si>
  <si>
    <t xml:space="preserve">Chashma (Mianwali)</t>
  </si>
  <si>
    <t xml:space="preserve">Government / restricted procurement</t>
  </si>
  <si>
    <t xml:space="preserve">Quaid-e-Azam Thermal Power (Pvt) Ltd — Bhikki</t>
  </si>
  <si>
    <t xml:space="preserve">Bhikki (Sheikhupura)</t>
  </si>
  <si>
    <t xml:space="preserve">Rousch (Pakistan) Power Ltd</t>
  </si>
  <si>
    <t xml:space="preserve">Abdul Hakim</t>
  </si>
  <si>
    <t xml:space="preserve">Saif Power Ltd</t>
  </si>
  <si>
    <t xml:space="preserve">Saif Group</t>
  </si>
  <si>
    <t xml:space="preserve">Sapphire Electric Co Ltd</t>
  </si>
  <si>
    <t xml:space="preserve">Sapphire Group</t>
  </si>
  <si>
    <t xml:space="preserve">Muridke</t>
  </si>
  <si>
    <t xml:space="preserve">Sapphire group already in WR list</t>
  </si>
  <si>
    <t xml:space="preserve">Thar Energy Ltd</t>
  </si>
  <si>
    <t xml:space="preserve">Thar Coal 330 MW</t>
  </si>
  <si>
    <t xml:space="preserve">Thar Block II</t>
  </si>
  <si>
    <t xml:space="preserve">Thar Block II — linked to WR's SECMC relationship</t>
  </si>
  <si>
    <t xml:space="preserve">Uch Power (Pvt) Ltd</t>
  </si>
  <si>
    <t xml:space="preserve">ENGIE</t>
  </si>
  <si>
    <t xml:space="preserve">Dera Murad Jamali</t>
  </si>
  <si>
    <t xml:space="preserve">Bulleh Shah Packaging (Pvt) Ltd</t>
  </si>
  <si>
    <t xml:space="preserve">Very high water use; fibre and chemical effluent</t>
  </si>
  <si>
    <t xml:space="preserve">Cherat Packaging Ltd</t>
  </si>
  <si>
    <t xml:space="preserve">Paper Sacks / Flexible</t>
  </si>
  <si>
    <t xml:space="preserve">Roshan Packages Ltd</t>
  </si>
  <si>
    <t xml:space="preserve">Corrugated Packaging</t>
  </si>
  <si>
    <t xml:space="preserve">Security Papers Ltd</t>
  </si>
  <si>
    <t xml:space="preserve">Security Paper</t>
  </si>
  <si>
    <t xml:space="preserve">Tetra Pak Pakistan Ltd</t>
  </si>
  <si>
    <t xml:space="preserve">Tetra Pak</t>
  </si>
  <si>
    <t xml:space="preserve">Liquid Packaging</t>
  </si>
  <si>
    <t xml:space="preserve">Beco Steel Ltd</t>
  </si>
  <si>
    <t xml:space="preserve">Steel</t>
  </si>
  <si>
    <t xml:space="preserve">Cooling and scale water; acid / pickling effluent</t>
  </si>
  <si>
    <t xml:space="preserve">PSX listed (engineering)</t>
  </si>
  <si>
    <t xml:space="preserve">https://tickeranalysts.com/stocks/sector/engineering</t>
  </si>
  <si>
    <t xml:space="preserve">Bolan Castings Ltd</t>
  </si>
  <si>
    <t xml:space="preserve">Foundry / castings</t>
  </si>
  <si>
    <t xml:space="preserve">Crescent Steel &amp; Allied Products Ltd</t>
  </si>
  <si>
    <t xml:space="preserve">Pipes / Coating</t>
  </si>
  <si>
    <t xml:space="preserve">Karachi / Faisalabad</t>
  </si>
  <si>
    <t xml:space="preserve">FF Steel (Pvt) Ltd</t>
  </si>
  <si>
    <t xml:space="preserve">Rebar</t>
  </si>
  <si>
    <t xml:space="preserve">Ittefaq Iron Industries Ltd</t>
  </si>
  <si>
    <t xml:space="preserve">KSB Pumps Company Ltd</t>
  </si>
  <si>
    <t xml:space="preserve">KSB</t>
  </si>
  <si>
    <t xml:space="preserve">Pump manufacturing / foundry</t>
  </si>
  <si>
    <t xml:space="preserve">Hasan Abdal</t>
  </si>
  <si>
    <t xml:space="preserve">Also a possible pump supplier to WR projects</t>
  </si>
  <si>
    <t xml:space="preserve">Metropolitan Steel Corporation Ltd</t>
  </si>
  <si>
    <t xml:space="preserve">Naveena Steel Mills (Pvt) Ltd</t>
  </si>
  <si>
    <t xml:space="preserve">Naveena Group</t>
  </si>
  <si>
    <t xml:space="preserve">Naveena group already a WR contact</t>
  </si>
  <si>
    <t xml:space="preserve">Abdullah Shah Ghazi Sugar Mills Ltd</t>
  </si>
  <si>
    <t xml:space="preserve">Sugar</t>
  </si>
  <si>
    <t xml:space="preserve">Boiler feed for co-generation; seasonal effluent; distillery spent wash</t>
  </si>
  <si>
    <t xml:space="preserve">DM / RO boiler feed, condensate polishing, distillery ETP / ZLD</t>
  </si>
  <si>
    <t xml:space="preserve">GM Technical; Co-generation Manager</t>
  </si>
  <si>
    <t xml:space="preserve">Confirm 2025-26 crushing and plant location</t>
  </si>
  <si>
    <t xml:space="preserve">Adam Sugar Mills Ltd</t>
  </si>
  <si>
    <t xml:space="preserve">Al-Moiz Industries Ltd</t>
  </si>
  <si>
    <t xml:space="preserve">Almoiz Group</t>
  </si>
  <si>
    <t xml:space="preserve">Dera Ismail Khan</t>
  </si>
  <si>
    <t xml:space="preserve">Al-Noor Sugar Mills Ltd</t>
  </si>
  <si>
    <t xml:space="preserve">Al-Noor Group</t>
  </si>
  <si>
    <t xml:space="preserve">Sugar / Board</t>
  </si>
  <si>
    <t xml:space="preserve">Moro</t>
  </si>
  <si>
    <t xml:space="preserve">Ansari Sugar Mills Ltd</t>
  </si>
  <si>
    <t xml:space="preserve">Baba Farid Sugar Mills Ltd</t>
  </si>
  <si>
    <t xml:space="preserve">Okara</t>
  </si>
  <si>
    <t xml:space="preserve">Confirm 2025-26 crushing from latest PSX filing</t>
  </si>
  <si>
    <t xml:space="preserve">Chashma Sugar Mills Ltd</t>
  </si>
  <si>
    <t xml:space="preserve">Premier Group</t>
  </si>
  <si>
    <t xml:space="preserve">Faran Sugar Mills Ltd</t>
  </si>
  <si>
    <t xml:space="preserve">Tando Muhammad Khan</t>
  </si>
  <si>
    <t xml:space="preserve">Fatima Sugar Mills Ltd</t>
  </si>
  <si>
    <t xml:space="preserve">Haseeb Waqas Sugar Mills Ltd</t>
  </si>
  <si>
    <t xml:space="preserve">Jauharabad Sugar Mills Ltd</t>
  </si>
  <si>
    <t xml:space="preserve">Jauharabad (Khushab)</t>
  </si>
  <si>
    <t xml:space="preserve">Khairpur Sugar Mills Ltd</t>
  </si>
  <si>
    <t xml:space="preserve">Khairpur</t>
  </si>
  <si>
    <t xml:space="preserve">Mehran Sugar Mills Ltd</t>
  </si>
  <si>
    <t xml:space="preserve">Tando Allahyar</t>
  </si>
  <si>
    <t xml:space="preserve">Mirpurkhas Sugar Mills Ltd</t>
  </si>
  <si>
    <t xml:space="preserve">Mirpurkhas</t>
  </si>
  <si>
    <t xml:space="preserve">Noon Sugar Mills Ltd</t>
  </si>
  <si>
    <t xml:space="preserve">Noon Group</t>
  </si>
  <si>
    <t xml:space="preserve">Sugar / Distillery</t>
  </si>
  <si>
    <t xml:space="preserve">Sakrand Sugar Mills Ltd</t>
  </si>
  <si>
    <t xml:space="preserve">Sakrand (Shaheed Benazirabad)</t>
  </si>
  <si>
    <t xml:space="preserve">PSX listed. 2025-26 season: 199,765 t cane crushed, 21,339 t sugar</t>
  </si>
  <si>
    <t xml:space="preserve">https://sakrandsugar.com/pdf/SSML-Q3-2026.pdf</t>
  </si>
  <si>
    <t xml:space="preserve">Sanghar Sugar Mills Ltd</t>
  </si>
  <si>
    <t xml:space="preserve">Sanghar</t>
  </si>
  <si>
    <t xml:space="preserve">Shahmurad Sugar Mills Ltd</t>
  </si>
  <si>
    <t xml:space="preserve">Shahtaj Sugar Mills Ltd</t>
  </si>
  <si>
    <t xml:space="preserve">Shahnawaz Group</t>
  </si>
  <si>
    <t xml:space="preserve">Mandi Bahauddin</t>
  </si>
  <si>
    <t xml:space="preserve">Shakarganj Ltd</t>
  </si>
  <si>
    <t xml:space="preserve">Shakarganj</t>
  </si>
  <si>
    <t xml:space="preserve">Jhang</t>
  </si>
  <si>
    <t xml:space="preserve">Sindh Abadgars Sugar Mills Ltd</t>
  </si>
  <si>
    <t xml:space="preserve">Tandlianwala Sugar Mills Ltd</t>
  </si>
  <si>
    <t xml:space="preserve">Tandlianwala</t>
  </si>
  <si>
    <t xml:space="preserve">Tariq Corporation Ltd</t>
  </si>
  <si>
    <t xml:space="preserve">The Premier Sugar Mills &amp; Distillery Co Ltd</t>
  </si>
  <si>
    <t xml:space="preserve">Mardan</t>
  </si>
  <si>
    <t xml:space="preserve">The Thal Industries Corporation Ltd</t>
  </si>
  <si>
    <t xml:space="preserve">Layyah</t>
  </si>
  <si>
    <t xml:space="preserve">Unicol Ltd</t>
  </si>
  <si>
    <t xml:space="preserve">Mirza / Omni group</t>
  </si>
  <si>
    <t xml:space="preserve">Ethanol Distillery</t>
  </si>
  <si>
    <t xml:space="preserve">A.Z. Apparel (Pvt) Ltd</t>
  </si>
  <si>
    <t xml:space="preserve">Knitwear export</t>
  </si>
  <si>
    <t xml:space="preserve">Accord: 3,500 workers</t>
  </si>
  <si>
    <t xml:space="preserve">Large export knitwear unit — in-house dyeing to be confirmed on first contact</t>
  </si>
  <si>
    <t xml:space="preserve">Ali Murtaza Associates (Pvt) Ltd</t>
  </si>
  <si>
    <t xml:space="preserve">Accord: 5,395–5,807 workers</t>
  </si>
  <si>
    <t xml:space="preserve">https://internationalaccord.org/wp-content/uploads/2026/02/Factory-Disclosure-Report-Pakistan-January-2026-1.pdf</t>
  </si>
  <si>
    <t xml:space="preserve">Anwar Khawaja Industries (Pvt) Ltd (AKI)</t>
  </si>
  <si>
    <t xml:space="preserve">AKI</t>
  </si>
  <si>
    <t xml:space="preserve">Knitwear / Sportswear</t>
  </si>
  <si>
    <t xml:space="preserve">Sialkot</t>
  </si>
  <si>
    <t xml:space="preserve">Ayesha Spinning Mills Ltd (Socks Division)</t>
  </si>
  <si>
    <t xml:space="preserve">Socks / knitting</t>
  </si>
  <si>
    <t xml:space="preserve">Accord: 3,100–3,500 workers</t>
  </si>
  <si>
    <t xml:space="preserve">Bhanero Textile Mills Ltd</t>
  </si>
  <si>
    <t xml:space="preserve">Umer Group</t>
  </si>
  <si>
    <t xml:space="preserve">Spinning / Weaving</t>
  </si>
  <si>
    <t xml:space="preserve">Blessed Textiles Ltd</t>
  </si>
  <si>
    <t xml:space="preserve">Spinning</t>
  </si>
  <si>
    <t xml:space="preserve">Combined Fabrics Ltd</t>
  </si>
  <si>
    <t xml:space="preserve">Cosy International (Pvt) Ltd</t>
  </si>
  <si>
    <t xml:space="preserve">Accord: 1,580 workers</t>
  </si>
  <si>
    <t xml:space="preserve">Cotton Web (Pvt) Ltd</t>
  </si>
  <si>
    <t xml:space="preserve">Accord: 2,319–4,476 workers</t>
  </si>
  <si>
    <t xml:space="preserve">Denim Crafts</t>
  </si>
  <si>
    <t xml:space="preserve">Accord: 1,152 workers</t>
  </si>
  <si>
    <t xml:space="preserve">Denim-E</t>
  </si>
  <si>
    <t xml:space="preserve">Accord: two units (180 and 1,200 workers)</t>
  </si>
  <si>
    <t xml:space="preserve">Diamond Fabrics Ltd</t>
  </si>
  <si>
    <t xml:space="preserve">Diamond Group</t>
  </si>
  <si>
    <t xml:space="preserve">Ebrahim Textile Mills</t>
  </si>
  <si>
    <t xml:space="preserve">Textile mill</t>
  </si>
  <si>
    <t xml:space="preserve">Accord (Jun-2025): 1,426 workers</t>
  </si>
  <si>
    <t xml:space="preserve">Ellcot Spinning Mills Ltd</t>
  </si>
  <si>
    <t xml:space="preserve">Nagina Group</t>
  </si>
  <si>
    <t xml:space="preserve">Fashion &amp; Trends (Pvt) Ltd</t>
  </si>
  <si>
    <t xml:space="preserve">Accord: 1,680–1,720 workers</t>
  </si>
  <si>
    <t xml:space="preserve">Fateh Textile Mills Ltd</t>
  </si>
  <si>
    <t xml:space="preserve">Fateh Group</t>
  </si>
  <si>
    <t xml:space="preserve">Weaving / Processing</t>
  </si>
  <si>
    <t xml:space="preserve">Hyderabad</t>
  </si>
  <si>
    <t xml:space="preserve">Ghazi Fabrics International Ltd</t>
  </si>
  <si>
    <t xml:space="preserve">Ghazi Group</t>
  </si>
  <si>
    <t xml:space="preserve">H. Nizam Din &amp; Sons (Pvt) Ltd</t>
  </si>
  <si>
    <t xml:space="preserve">Accord: units 1 &amp; 2, 1,220 workers</t>
  </si>
  <si>
    <t xml:space="preserve">Hala Enterprises Ltd</t>
  </si>
  <si>
    <t xml:space="preserve">Towels / terry</t>
  </si>
  <si>
    <t xml:space="preserve">PSX listed (textile composite)</t>
  </si>
  <si>
    <t xml:space="preserve">Ibrahim Fibres Ltd</t>
  </si>
  <si>
    <t xml:space="preserve">Ibrahim Group</t>
  </si>
  <si>
    <t xml:space="preserve">Polyester Fibre / Spinning</t>
  </si>
  <si>
    <t xml:space="preserve">Icon Fashions</t>
  </si>
  <si>
    <t xml:space="preserve">Accord: 3,501 workers</t>
  </si>
  <si>
    <t xml:space="preserve">Kay &amp; Emms (Pvt) Ltd</t>
  </si>
  <si>
    <t xml:space="preserve">Accord: 2,750 workers</t>
  </si>
  <si>
    <t xml:space="preserve">Klash (Pvt) Ltd</t>
  </si>
  <si>
    <t xml:space="preserve">Accord: two units, 1,650 + 1,350 workers</t>
  </si>
  <si>
    <t xml:space="preserve">Lazienda Denim (Pvt) Ltd</t>
  </si>
  <si>
    <t xml:space="preserve">Accord (Jan-2026): 1,164 workers</t>
  </si>
  <si>
    <t xml:space="preserve">Meko Denim Mills (Pvt) Ltd</t>
  </si>
  <si>
    <t xml:space="preserve">Mekotex Group</t>
  </si>
  <si>
    <t xml:space="preserve">Accord: denim cut-to-pack Unit 2</t>
  </si>
  <si>
    <t xml:space="preserve">Mekotex group already in WR list</t>
  </si>
  <si>
    <t xml:space="preserve">Munir Textile Mills</t>
  </si>
  <si>
    <t xml:space="preserve">Accord (Jan-2026): 3,500 workers</t>
  </si>
  <si>
    <t xml:space="preserve">Naveena Denim Mills (Pvt) Ltd</t>
  </si>
  <si>
    <t xml:space="preserve">Naveena Exports Ltd</t>
  </si>
  <si>
    <t xml:space="preserve">Nishat Linen (Pvt) Ltd</t>
  </si>
  <si>
    <t xml:space="preserve">Lahore / Faisalabad</t>
  </si>
  <si>
    <t xml:space="preserve">Prosperity Weaving Mills Ltd</t>
  </si>
  <si>
    <t xml:space="preserve">Weaving</t>
  </si>
  <si>
    <t xml:space="preserve">Reliance Weaving Mills Ltd</t>
  </si>
  <si>
    <t xml:space="preserve">Saif Textile Mills Ltd</t>
  </si>
  <si>
    <t xml:space="preserve">Sapphire Fibres Ltd</t>
  </si>
  <si>
    <t xml:space="preserve">Spinning / Knitwear</t>
  </si>
  <si>
    <t xml:space="preserve">Sapphire Finishing Mills Ltd</t>
  </si>
  <si>
    <t xml:space="preserve">Finishing / processing</t>
  </si>
  <si>
    <t xml:space="preserve">Accord: Unit-03, 3,539 workers</t>
  </si>
  <si>
    <t xml:space="preserve">Shahkam Industries (Pvt) Ltd</t>
  </si>
  <si>
    <t xml:space="preserve">Accord: 3,201 workers</t>
  </si>
  <si>
    <t xml:space="preserve">Stylers International Ltd</t>
  </si>
  <si>
    <t xml:space="preserve">Knitwear / apparel export</t>
  </si>
  <si>
    <t xml:space="preserve">PSX listed. Accord: 4,337 workers</t>
  </si>
  <si>
    <t xml:space="preserve">Tata Textile Mills Ltd</t>
  </si>
  <si>
    <t xml:space="preserve">Tata Group (Pakistan)</t>
  </si>
  <si>
    <t xml:space="preserve">Karachi / Muzaffargarh</t>
  </si>
  <si>
    <t xml:space="preserve">US Denim Mills (Pvt) Ltd</t>
  </si>
  <si>
    <t xml:space="preserve">Denim fabric mill</t>
  </si>
  <si>
    <t xml:space="preserve">Listed in the LYCRA denim sourcing network</t>
  </si>
  <si>
    <t xml:space="preserve">US group — US Apparel &amp; Textiles is also on this list</t>
  </si>
  <si>
    <t xml:space="preserve">https://www.lycra.com/it/sourcing-network/us-denim-mills-0</t>
  </si>
  <si>
    <t xml:space="preserve">Zahidjee Textile Mills Ltd</t>
  </si>
  <si>
    <t xml:space="preserve">Zahidjee Group</t>
  </si>
  <si>
    <t xml:space="preserve">Home Textile / Processing</t>
  </si>
  <si>
    <t xml:space="preserve">Zephyr Textiles Ltd</t>
  </si>
  <si>
    <t xml:space="preserve">Weaving / home textile</t>
  </si>
  <si>
    <t xml:space="preserve">PSX listed (textile weaving)</t>
  </si>
  <si>
    <t xml:space="preserve">https://tickeranalysts.com/stocks/sector/textile-weaving</t>
  </si>
  <si>
    <t xml:space="preserve">Heavy Industries Taxila (HIT)</t>
  </si>
  <si>
    <t xml:space="preserve">Heavy Engineering</t>
  </si>
  <si>
    <t xml:space="preserve">Taxila</t>
  </si>
  <si>
    <t xml:space="preserve">Plating and process effluent</t>
  </si>
  <si>
    <t xml:space="preserve">ETP, RO</t>
  </si>
  <si>
    <t xml:space="preserve">Restricted procurement route</t>
  </si>
  <si>
    <t xml:space="preserve">Restricted procurement</t>
  </si>
  <si>
    <t xml:space="preserve">Heavy Mechanical Complex (HMC)</t>
  </si>
  <si>
    <t xml:space="preserve">Pakistan Aeronautical Complex (PAC) Kamra</t>
  </si>
  <si>
    <t xml:space="preserve">Aerospace</t>
  </si>
  <si>
    <t xml:space="preserve">Kamra</t>
  </si>
  <si>
    <t xml:space="preserve">Pakistan Ordnance Factories (POF)</t>
  </si>
  <si>
    <t xml:space="preserve">Ordnance (plating/process effluent)</t>
  </si>
  <si>
    <t xml:space="preserve">Dawlance (Pvt) Ltd</t>
  </si>
  <si>
    <t xml:space="preserve">Arçelik</t>
  </si>
  <si>
    <t xml:space="preserve">Appliances (paint/plating)</t>
  </si>
  <si>
    <t xml:space="preserve">Karachi / Hyderabad</t>
  </si>
  <si>
    <t xml:space="preserve">Plating / paint effluent and process water</t>
  </si>
  <si>
    <t xml:space="preserve">Plant Engineering Manager</t>
  </si>
  <si>
    <t xml:space="preserve">Fast Cables Ltd</t>
  </si>
  <si>
    <t xml:space="preserve">Fast Group</t>
  </si>
  <si>
    <t xml:space="preserve">Cables</t>
  </si>
  <si>
    <t xml:space="preserve">Haier Pakistan (Pvt) Ltd</t>
  </si>
  <si>
    <t xml:space="preserve">Haier</t>
  </si>
  <si>
    <t xml:space="preserve">Appliances</t>
  </si>
  <si>
    <t xml:space="preserve">Orient Electronics (Pvt) Ltd</t>
  </si>
  <si>
    <t xml:space="preserve">Pak Elektron Ltd (PEL)</t>
  </si>
  <si>
    <t xml:space="preserve">Appliances / Transformers</t>
  </si>
  <si>
    <t xml:space="preserve">Company / project</t>
  </si>
  <si>
    <t xml:space="preserve">Location</t>
  </si>
  <si>
    <t xml:space="preserve">What is happening</t>
  </si>
  <si>
    <t xml:space="preserve">Water Regime opportunity</t>
  </si>
  <si>
    <t xml:space="preserve">List</t>
  </si>
  <si>
    <t xml:space="preserve">New target</t>
  </si>
  <si>
    <t xml:space="preserve">Kohinoor Mills Ltd (Kasur unit)</t>
  </si>
  <si>
    <t xml:space="preserve">Manga–Raiwind Road, Kot Radha Kishan, Kasur</t>
  </si>
  <si>
    <t xml:space="preserve">EIA 2025: new / extended dyeing unit 125 TPD; ETP 3,600 m³/day (tertiary); RO plants 54 + 72 m³/day; ZLD goal; ZDHC-aligned</t>
  </si>
  <si>
    <t xml:space="preserve">Tertiary ETP, RO recycling and ZLD — a large, near-term package</t>
  </si>
  <si>
    <t xml:space="preserve">Existing WR list company</t>
  </si>
  <si>
    <t xml:space="preserve">https://epd.punjab.gov.pk/system/files/2025%20271.pdf</t>
  </si>
  <si>
    <t xml:space="preserve">Fauji Fertilizer Company — Thar coal-to-urea project</t>
  </si>
  <si>
    <t xml:space="preserve">Thar coalfield (expected), Sindh</t>
  </si>
  <si>
    <t xml:space="preserve">CPEC phase-2 coal-gasification urea plant: ~717,000 t/yr urea, US$1.12bn; FEED signed with Hualu Engineering (May-2026); commissioning 2030–31</t>
  </si>
  <si>
    <t xml:space="preserve">Very large raw-water, demin, cooling and ZLD scope — engage early with FFC and the FEED contractor</t>
  </si>
  <si>
    <t xml:space="preserve">Existing WR contact (FFBL, now part of FFC)</t>
  </si>
  <si>
    <t xml:space="preserve">https://www.arabnews.com/node/2645462/amp</t>
  </si>
  <si>
    <t xml:space="preserve">Account</t>
  </si>
  <si>
    <t xml:space="preserve">Tier</t>
  </si>
  <si>
    <t xml:space="preserve">WR status</t>
  </si>
  <si>
    <t xml:space="preserve">Opportunity (from WR files)</t>
  </si>
  <si>
    <t xml:space="preserve">Decision-maker titles</t>
  </si>
  <si>
    <t xml:space="preserve">Pipeline value PKR</t>
  </si>
  <si>
    <t xml:space="preserve">Expected to close PKR (Dec-26)</t>
  </si>
  <si>
    <t xml:space="preserve">Next action</t>
  </si>
  <si>
    <t xml:space="preserve">Al-Karam Textile Mills</t>
  </si>
  <si>
    <t xml:space="preserve">A</t>
  </si>
  <si>
    <t xml:space="preserve">Existing Customer</t>
  </si>
  <si>
    <t xml:space="preserve">Two large ETP proposals in WR pipeline (375 m³/hr MBR + 125 m³/hr MBR); 75% close probability on 125 m³/hr</t>
  </si>
  <si>
    <t xml:space="preserve">Director Technical; GM Utilities; ETP Manager</t>
  </si>
  <si>
    <t xml:space="preserve">Push 125 m³/hr MBR to PO before Dec-26; position 375 m³/hr as phase 2</t>
  </si>
  <si>
    <t xml:space="preserve">Gul Ahmed Textile Mills</t>
  </si>
  <si>
    <t xml:space="preserve">Active Opportunity</t>
  </si>
  <si>
    <t xml:space="preserve">ETP extension 94→166 m³/hr + BWRO 2×58 + HBWRO 25 m³/hr (PKR 588M) — largest single proposal in pipeline</t>
  </si>
  <si>
    <t xml:space="preserve">IFAS/MBR ETP + BWRO recycling</t>
  </si>
  <si>
    <t xml:space="preserve">Technical clarification meeting; secure commercial negotiation date</t>
  </si>
  <si>
    <t xml:space="preserve">Nishat Mills</t>
  </si>
  <si>
    <t xml:space="preserve">ETP upgrade 40→80 m³/hr MBR + RO 25 m³/hr (PKR 215M, 75%); group has multiple mills + power + cement</t>
  </si>
  <si>
    <t xml:space="preserve">MBR ETP + RO recycling</t>
  </si>
  <si>
    <t xml:space="preserve">Director Technical; GM Utilities; Group Sustainability</t>
  </si>
  <si>
    <t xml:space="preserve">Close current deal; open group-level framework for other Nishat units</t>
  </si>
  <si>
    <t xml:space="preserve">Feroze1888 Mills</t>
  </si>
  <si>
    <t xml:space="preserve">Five proposals across C-3 and Hub units (ETP 100 m³/hr upgrade, Hub ETP 47.5→95 m³/hr, HBWRO ×2)</t>
  </si>
  <si>
    <t xml:space="preserve">DAF + MBBR/MBR hybrid ETP, HBWRO, recycling</t>
  </si>
  <si>
    <t xml:space="preserve">Consolidate 5 proposals into one programme offer with phased delivery</t>
  </si>
  <si>
    <t xml:space="preserve">Siddiqsons Ltd</t>
  </si>
  <si>
    <t xml:space="preserve">BWRO 2×47.5 m³/hr + ETP 60→120 m³/hr MBR; existing customer</t>
  </si>
  <si>
    <t xml:space="preserve">MBR ETP + BWRO</t>
  </si>
  <si>
    <t xml:space="preserve">GM Utilities; Director Technical</t>
  </si>
  <si>
    <t xml:space="preserve">Follow up on ETP extension; reference-site leverage</t>
  </si>
  <si>
    <t xml:space="preserve">Rajby Industries</t>
  </si>
  <si>
    <t xml:space="preserve">Recycling UF 72 + BWRO 50 m³/hr; multiple units (Washing 1, Unit 3, Kotri denim); existing customer</t>
  </si>
  <si>
    <t xml:space="preserve">UF + BWRO recycling, HBWRO, clarifier WTP</t>
  </si>
  <si>
    <t xml:space="preserve">GM Utilities; ETP Manager</t>
  </si>
  <si>
    <t xml:space="preserve">Convert Kotri budgetary proposals to firm offers</t>
  </si>
  <si>
    <t xml:space="preserve">Artistic Garment Industries (AGI Denim / AGI K-units)</t>
  </si>
  <si>
    <t xml:space="preserve">ETP extension 80→160 m³/hr + sand classifier 189 m³/hr (75%)</t>
  </si>
  <si>
    <t xml:space="preserve">ETP extension, sand classifier</t>
  </si>
  <si>
    <t xml:space="preserve">GM Utilities; Manager ETP</t>
  </si>
  <si>
    <t xml:space="preserve">Close sand classifier; reopen ETP extension</t>
  </si>
  <si>
    <t xml:space="preserve">Artistic Milliners</t>
  </si>
  <si>
    <t xml:space="preserve">ETP upgrade to 96 m³/hr MBR + RO 67 m³/hr — 95% probability, technical submission stage</t>
  </si>
  <si>
    <t xml:space="preserve">Director Technical; GM Utilities</t>
  </si>
  <si>
    <t xml:space="preserve">Finalise technical approval and price this month</t>
  </si>
  <si>
    <t xml:space="preserve">Nishat Chunian</t>
  </si>
  <si>
    <t xml:space="preserve">Effluent recycling UF 53.5 + BWRO 37.5 m³/hr (PKR 97M, 50%)</t>
  </si>
  <si>
    <t xml:space="preserve">UF + BWRO recycling</t>
  </si>
  <si>
    <t xml:space="preserve">Technical presentation on recovery % and payback</t>
  </si>
  <si>
    <t xml:space="preserve">Fazal Cloth Mills</t>
  </si>
  <si>
    <t xml:space="preserve">ETP 50 m³/hr (PKR 67M, 75%)</t>
  </si>
  <si>
    <t xml:space="preserve">Conventional / MBBR ETP</t>
  </si>
  <si>
    <t xml:space="preserve">GM Utilities</t>
  </si>
  <si>
    <t xml:space="preserve">Push to PO</t>
  </si>
  <si>
    <t xml:space="preserve">UF 17 + HBWRO 8.5; BWRO 8; HBWRO 32 m³/hr proposals; group spans denim, apparel, steel</t>
  </si>
  <si>
    <t xml:space="preserve">UF + HBWRO</t>
  </si>
  <si>
    <t xml:space="preserve">GM Utilities; Group Engineering</t>
  </si>
  <si>
    <t xml:space="preserve">Bundle proposals; explore Naveena Steel water need</t>
  </si>
  <si>
    <t xml:space="preserve">International Textile Ltd</t>
  </si>
  <si>
    <t xml:space="preserve">SWRO 19/38 m³/hr, ETP revamp 50 m³/hr, reject RO 16 m³/hr</t>
  </si>
  <si>
    <t xml:space="preserve">SWRO, ETP revamp, reject RO</t>
  </si>
  <si>
    <t xml:space="preserve">Prioritise SWRO 19 m³/hr firm offer</t>
  </si>
  <si>
    <t xml:space="preserve">Liberty Mills</t>
  </si>
  <si>
    <t xml:space="preserve">UF 100 m³/hr (PKR 52M)</t>
  </si>
  <si>
    <t xml:space="preserve">UF</t>
  </si>
  <si>
    <t xml:space="preserve">Follow up on submitted proposal</t>
  </si>
  <si>
    <t xml:space="preserve">Zaman Textile</t>
  </si>
  <si>
    <t xml:space="preserve">Recycling UF 113 + BWRO 79 m³/hr (hot case)</t>
  </si>
  <si>
    <t xml:space="preserve">GM Utilities (Nadeem Naseer per visit plan)</t>
  </si>
  <si>
    <t xml:space="preserve">Technical follow-up</t>
  </si>
  <si>
    <t xml:space="preserve">Digital Apparel</t>
  </si>
  <si>
    <t xml:space="preserve">ETP extension 16→40 m³/hr UF + BWRO 28 m³/hr (PKR 23M, 50%)</t>
  </si>
  <si>
    <t xml:space="preserve">UF + BWRO, ETP extension</t>
  </si>
  <si>
    <t xml:space="preserve">Manager Utility (Faizan per visit plan)</t>
  </si>
  <si>
    <t xml:space="preserve">Commercial negotiation</t>
  </si>
  <si>
    <t xml:space="preserve">Jalal Sons</t>
  </si>
  <si>
    <t xml:space="preserve">BWRO 12 m³/hr + storage (PKR 36M, 95%)</t>
  </si>
  <si>
    <t xml:space="preserve">BWRO</t>
  </si>
  <si>
    <t xml:space="preserve">Plant Manager; Procurement</t>
  </si>
  <si>
    <t xml:space="preserve">Collect PO</t>
  </si>
  <si>
    <t xml:space="preserve">Getz Pharma</t>
  </si>
  <si>
    <t xml:space="preserve">Pharmaceutical</t>
  </si>
  <si>
    <t xml:space="preserve">UF 40 + BWRO 24; UF 59; containerized MBR ETP 200 m³/day; BWRO 14 — multiple units</t>
  </si>
  <si>
    <t xml:space="preserve">Pharma WTP (UF/RO), containerized MBR ETP</t>
  </si>
  <si>
    <t xml:space="preserve">Close Astola WTP; propose site-wide water master plan</t>
  </si>
  <si>
    <t xml:space="preserve">Abbott Laboratories (Pakistan)</t>
  </si>
  <si>
    <t xml:space="preserve">UF 8 + RO 5.6; double-pass RO 4; UF 45 m³/hr</t>
  </si>
  <si>
    <t xml:space="preserve">UF, double-pass RO</t>
  </si>
  <si>
    <t xml:space="preserve">Follow up Landhi proposals</t>
  </si>
  <si>
    <t xml:space="preserve">Martin Dow</t>
  </si>
  <si>
    <t xml:space="preserve">UF 4.5 + BWRO 2.8 + pass-2 RO + EDI (PKR 27.5M); existing customer</t>
  </si>
  <si>
    <t xml:space="preserve">Purified water: UF, 2-pass RO, EDI</t>
  </si>
  <si>
    <t xml:space="preserve">Validation-package pitch</t>
  </si>
  <si>
    <t xml:space="preserve">PharmEvo</t>
  </si>
  <si>
    <t xml:space="preserve">UF 4.5 + double-pass RO 2.6 + EDI 2.5 (PKR 32M)</t>
  </si>
  <si>
    <t xml:space="preserve">Khalid Hassan (named in WR file); Head of Engineering</t>
  </si>
  <si>
    <t xml:space="preserve">Follow up named contact</t>
  </si>
  <si>
    <t xml:space="preserve">Otsuka Pakistan</t>
  </si>
  <si>
    <t xml:space="preserve">EDI 5.5 m³/hr + containerized IFAS ETP 5 m³/hr</t>
  </si>
  <si>
    <t xml:space="preserve">EDI, containerized IFAS ETP</t>
  </si>
  <si>
    <t xml:space="preserve">GM Engineering (Salman per visit plan)</t>
  </si>
  <si>
    <t xml:space="preserve">Close EDI</t>
  </si>
  <si>
    <t xml:space="preserve">Lucky Cement</t>
  </si>
  <si>
    <t xml:space="preserve">RO recovery enhancement + 2nd pass RO + EDI; BWRO 15 m³/hr; group also has power, chemicals, auto</t>
  </si>
  <si>
    <t xml:space="preserve">RO/EDI boiler feed, BWRO</t>
  </si>
  <si>
    <t xml:space="preserve">Use as entry to Lucky Group (LCI, Lucky Electric, Kia Lucky)</t>
  </si>
  <si>
    <t xml:space="preserve">Pakistan Refinery Ltd (PRL)</t>
  </si>
  <si>
    <t xml:space="preserve">WTP UF 67 + BWRO 50 m³/hr (PKR 63M); refinery upgrade programme</t>
  </si>
  <si>
    <t xml:space="preserve">UF + BWRO, process water</t>
  </si>
  <si>
    <t xml:space="preserve">Tender/technical follow-up</t>
  </si>
  <si>
    <t xml:space="preserve">PARCO</t>
  </si>
  <si>
    <t xml:space="preserve">Two BWRO 2 m³/hr proposals; existing customer; very large refinery water system</t>
  </si>
  <si>
    <t xml:space="preserve">BWRO, refinery water &amp; effluent</t>
  </si>
  <si>
    <t xml:space="preserve">Expand from small RO to utilities/effluent scope</t>
  </si>
  <si>
    <t xml:space="preserve">Sindh Engro Coal Mining Co (SECMC)</t>
  </si>
  <si>
    <t xml:space="preserve">STP 2×25 m³/hr SBR (PKR 44M); Thar water-scarce site</t>
  </si>
  <si>
    <t xml:space="preserve">SBR STP, brackish RO, mine-water treatment</t>
  </si>
  <si>
    <t xml:space="preserve">Follow up STP; open mine-water reuse discussion</t>
  </si>
  <si>
    <t xml:space="preserve">Hilton Pharma</t>
  </si>
  <si>
    <t xml:space="preserve">Bulk purified water 3 m³/hr + drinking water system proposals</t>
  </si>
  <si>
    <t xml:space="preserve">Purified water system</t>
  </si>
  <si>
    <t xml:space="preserve">Follow up submitted proposals</t>
  </si>
  <si>
    <t xml:space="preserve">Genix Pharma</t>
  </si>
  <si>
    <t xml:space="preserve">Proposal PKR 36.5M (scope not described in WR file); existing customer per visit plan</t>
  </si>
  <si>
    <t xml:space="preserve">RO / purified water</t>
  </si>
  <si>
    <t xml:space="preserve">Fill missing scope in WR file; follow up</t>
  </si>
  <si>
    <t xml:space="preserve">Willson Pharma</t>
  </si>
  <si>
    <t xml:space="preserve">BWRO 11.5 m³/hr (PKR 13.6M, 50%)</t>
  </si>
  <si>
    <t xml:space="preserve">Dynea Pakistan</t>
  </si>
  <si>
    <t xml:space="preserve">BWRO 6 m³/hr hot case; Senior Manager Mujtaba met Sep-26</t>
  </si>
  <si>
    <t xml:space="preserve">BWRO + media filter</t>
  </si>
  <si>
    <t xml:space="preserve">Senior Manager (Mujtaba per visit plan)</t>
  </si>
  <si>
    <t xml:space="preserve">Follow up</t>
  </si>
  <si>
    <t xml:space="preserve">Lucky Textile Mills (Unit 4)</t>
  </si>
  <si>
    <t xml:space="preserve">ETP revamp up to 200 m³/hr with primary treatment</t>
  </si>
  <si>
    <t xml:space="preserve">ETP revamp</t>
  </si>
  <si>
    <t xml:space="preserve">Price the revamp; value missing in WR file</t>
  </si>
  <si>
    <t xml:space="preserve">ATCO Group (ATCO Laboratories — confirm)</t>
  </si>
  <si>
    <t xml:space="preserve">ETP upgrade 250→500 m³/day IFAS + UF 10 / BWRO 6 m³/hr</t>
  </si>
  <si>
    <t xml:space="preserve">IFAS ETP, UF + BWRO</t>
  </si>
  <si>
    <t xml:space="preserve">Follow up (proposals dated Apr-2025 — re-qualify)</t>
  </si>
  <si>
    <t xml:space="preserve">IFFCO (Pakistan)</t>
  </si>
  <si>
    <t xml:space="preserve">HBWRO 45 m³/hr (PKR 75.8M) — proposal dated Sep-2024, re-qualify</t>
  </si>
  <si>
    <t xml:space="preserve">HBWRO</t>
  </si>
  <si>
    <t xml:space="preserve">Re-qualify: proposal is 2 years old</t>
  </si>
  <si>
    <t xml:space="preserve">National Petro Carbon</t>
  </si>
  <si>
    <t xml:space="preserve">BWRO 23 m³/hr (PKR 36.6M)</t>
  </si>
  <si>
    <t xml:space="preserve">Values are as entered in WR's own Projects Pipeline / Expected-to-close sheets. Two real-estate STP proposals (HMR, The Court Group) are excluded because Real Estate is outside the current scope. Known data errors are listed in 'Data Issues'.</t>
  </si>
  <si>
    <t xml:space="preserve">WR ID</t>
  </si>
  <si>
    <t xml:space="preserve">City</t>
  </si>
  <si>
    <t xml:space="preserve">Priority (new targets)</t>
  </si>
  <si>
    <t xml:space="preserve">Contact person</t>
  </si>
  <si>
    <t xml:space="preserve">Designation</t>
  </si>
  <si>
    <t xml:space="preserve">Phone</t>
  </si>
  <si>
    <t xml:space="preserve">Email</t>
  </si>
  <si>
    <t xml:space="preserve">Verification / basis</t>
  </si>
  <si>
    <t xml:space="preserve">WR-PK-0001</t>
  </si>
  <si>
    <t xml:space="preserve">Not yet contacted</t>
  </si>
  <si>
    <t xml:space="preserve">Established operator — Nationally established manufacturer (PSX listed)</t>
  </si>
  <si>
    <t xml:space="preserve">WR-PK-0002</t>
  </si>
  <si>
    <t xml:space="preserve">Established operator — Established operator — listed or nationally known</t>
  </si>
  <si>
    <t xml:space="preserve">WR-PK-0003</t>
  </si>
  <si>
    <t xml:space="preserve">WR-PK-0004</t>
  </si>
  <si>
    <t xml:space="preserve">WR-PK-0005</t>
  </si>
  <si>
    <t xml:space="preserve">WR-PK-0006</t>
  </si>
  <si>
    <t xml:space="preserve">WR-PK-0007</t>
  </si>
  <si>
    <t xml:space="preserve">WR-PK-0008</t>
  </si>
  <si>
    <t xml:space="preserve">WR-PK-0009</t>
  </si>
  <si>
    <t xml:space="preserve">WR-PK-0010</t>
  </si>
  <si>
    <t xml:space="preserve">WR-PK-0011</t>
  </si>
  <si>
    <t xml:space="preserve">WR-PK-0012</t>
  </si>
  <si>
    <t xml:space="preserve">WR-PK-0013</t>
  </si>
  <si>
    <t xml:space="preserve">WR-PK-0014</t>
  </si>
  <si>
    <t xml:space="preserve">WR-PK-0015</t>
  </si>
  <si>
    <t xml:space="preserve">Established operator — Nationally established manufacturer</t>
  </si>
  <si>
    <t xml:space="preserve">WR-PK-0016</t>
  </si>
  <si>
    <t xml:space="preserve">WR-PK-0017</t>
  </si>
  <si>
    <t xml:space="preserve">WR-PK-0018</t>
  </si>
  <si>
    <t xml:space="preserve">Attock Cement Pakistan - Hub Chowki, Lasbela</t>
  </si>
  <si>
    <t xml:space="preserve">WR existing list</t>
  </si>
  <si>
    <t xml:space="preserve">WR internal list — field confirmation pending</t>
  </si>
  <si>
    <t xml:space="preserve">WR-PK-0019</t>
  </si>
  <si>
    <t xml:space="preserve">D.G.Khan Cement Limited - Hub</t>
  </si>
  <si>
    <t xml:space="preserve">Dera Ghazi Khan / Khairpur / Hub</t>
  </si>
  <si>
    <t xml:space="preserve">WR-PK-0020</t>
  </si>
  <si>
    <t xml:space="preserve">Dada Bhai</t>
  </si>
  <si>
    <t xml:space="preserve">WR-PK-0021</t>
  </si>
  <si>
    <t xml:space="preserve">Dewan Cement Limited - Dhabeji</t>
  </si>
  <si>
    <t xml:space="preserve">Closed / Not operating — Closed</t>
  </si>
  <si>
    <t xml:space="preserve">Marked 'Closed' in WR file — confirm operating status</t>
  </si>
  <si>
    <t xml:space="preserve">WR-PK-0022</t>
  </si>
  <si>
    <t xml:space="preserve">Lucky Cement Limited - Indus Highway, Karachi</t>
  </si>
  <si>
    <t xml:space="preserve">In Contact</t>
  </si>
  <si>
    <t xml:space="preserve">WR-PK-0023</t>
  </si>
  <si>
    <t xml:space="preserve">Pioneer Cement</t>
  </si>
  <si>
    <t xml:space="preserve">WR-PK-0024</t>
  </si>
  <si>
    <t xml:space="preserve">Popular Cement Industries</t>
  </si>
  <si>
    <t xml:space="preserve">WR-PK-0025</t>
  </si>
  <si>
    <t xml:space="preserve">Power Cement Limited - Nooriabad, Dadu</t>
  </si>
  <si>
    <t xml:space="preserve">WR-PK-0026</t>
  </si>
  <si>
    <t xml:space="preserve">Rohri Cement Private Limited</t>
  </si>
  <si>
    <t xml:space="preserve">WR-PK-0027</t>
  </si>
  <si>
    <t xml:space="preserve">Thatta Cement Limited - Thatta</t>
  </si>
  <si>
    <t xml:space="preserve">WR-PK-0028</t>
  </si>
  <si>
    <t xml:space="preserve">Zeal Pak Cement</t>
  </si>
  <si>
    <t xml:space="preserve">WR-PK-0029</t>
  </si>
  <si>
    <t xml:space="preserve">Live project signal — One of 7 new cement plants approved, US$700M combined (Apr-2026)</t>
  </si>
  <si>
    <t xml:space="preserve">WR-PK-0030</t>
  </si>
  <si>
    <t xml:space="preserve">WR-PK-0031</t>
  </si>
  <si>
    <t xml:space="preserve">WR-PK-0032</t>
  </si>
  <si>
    <t xml:space="preserve">WR-PK-0033</t>
  </si>
  <si>
    <t xml:space="preserve">WR-PK-0034</t>
  </si>
  <si>
    <t xml:space="preserve">WR-PK-0035</t>
  </si>
  <si>
    <t xml:space="preserve">WR-PK-0036</t>
  </si>
  <si>
    <t xml:space="preserve">WR-PK-0037</t>
  </si>
  <si>
    <t xml:space="preserve">WR-PK-0038</t>
  </si>
  <si>
    <t xml:space="preserve">WR-PK-0039</t>
  </si>
  <si>
    <t xml:space="preserve">WR-PK-0040</t>
  </si>
  <si>
    <t xml:space="preserve">WR-PK-0041</t>
  </si>
  <si>
    <t xml:space="preserve">WR-PK-0042</t>
  </si>
  <si>
    <t xml:space="preserve">ACI Atlantis Chemical Industries</t>
  </si>
  <si>
    <t xml:space="preserve">Chemicals / Petrochemical (WR list)</t>
  </si>
  <si>
    <t xml:space="preserve">WR-PK-0043</t>
  </si>
  <si>
    <t xml:space="preserve">Agar International (Pvt) Ltd</t>
  </si>
  <si>
    <t xml:space="preserve">WR-PK-0044</t>
  </si>
  <si>
    <t xml:space="preserve">Allied Chemical Corporation</t>
  </si>
  <si>
    <t xml:space="preserve">WR-PK-0045</t>
  </si>
  <si>
    <t xml:space="preserve">Berger Paints Pakistan Ltd</t>
  </si>
  <si>
    <t xml:space="preserve">Berger</t>
  </si>
  <si>
    <t xml:space="preserve">WR-PK-0046</t>
  </si>
  <si>
    <t xml:space="preserve">Buxly Paints Ltd</t>
  </si>
  <si>
    <t xml:space="preserve">—</t>
  </si>
  <si>
    <t xml:space="preserve">WR-PK-0047</t>
  </si>
  <si>
    <t xml:space="preserve">Dynea Pakistan Ltd</t>
  </si>
  <si>
    <t xml:space="preserve">WR-PK-0048</t>
  </si>
  <si>
    <t xml:space="preserve">Efroze Chemical Industries</t>
  </si>
  <si>
    <t xml:space="preserve">WR-PK-0049</t>
  </si>
  <si>
    <t xml:space="preserve">Engro Polymer &amp; Chemicals Ltd</t>
  </si>
  <si>
    <t xml:space="preserve">Engro</t>
  </si>
  <si>
    <t xml:space="preserve">WR-PK-0050</t>
  </si>
  <si>
    <t xml:space="preserve">Excel Chemicals</t>
  </si>
  <si>
    <t xml:space="preserve">WR-PK-0051</t>
  </si>
  <si>
    <t xml:space="preserve">Lotte Chemical Pakistan Ltd</t>
  </si>
  <si>
    <t xml:space="preserve">Ownership/name status to verify</t>
  </si>
  <si>
    <t xml:space="preserve">WR-PK-0052</t>
  </si>
  <si>
    <t xml:space="preserve">Pak Petro-Chemical Industries</t>
  </si>
  <si>
    <t xml:space="preserve">WR-PK-0053</t>
  </si>
  <si>
    <t xml:space="preserve">WR-PK-0054</t>
  </si>
  <si>
    <t xml:space="preserve">WR-PK-0055</t>
  </si>
  <si>
    <t xml:space="preserve">WR-PK-0056</t>
  </si>
  <si>
    <t xml:space="preserve">Established operator — PSX listed (chemical)</t>
  </si>
  <si>
    <t xml:space="preserve">WR-PK-0057</t>
  </si>
  <si>
    <t xml:space="preserve">WR-PK-0058</t>
  </si>
  <si>
    <t xml:space="preserve">WR-PK-0059</t>
  </si>
  <si>
    <t xml:space="preserve">Live project signal — Punjab EPD EIA register: new unit at Value Addition City</t>
  </si>
  <si>
    <t xml:space="preserve">WR-PK-0060</t>
  </si>
  <si>
    <t xml:space="preserve">WR-PK-0061</t>
  </si>
  <si>
    <t xml:space="preserve">WR-PK-0062</t>
  </si>
  <si>
    <t xml:space="preserve">WR-PK-0063</t>
  </si>
  <si>
    <t xml:space="preserve">WR-PK-0064</t>
  </si>
  <si>
    <t xml:space="preserve">WR-PK-0065</t>
  </si>
  <si>
    <t xml:space="preserve">WR-PK-0066</t>
  </si>
  <si>
    <t xml:space="preserve">WR-PK-0067</t>
  </si>
  <si>
    <t xml:space="preserve">WR-PK-0068</t>
  </si>
  <si>
    <t xml:space="preserve">Live project signal — Punjab EPD EIA register: construction of starch pack unit</t>
  </si>
  <si>
    <t xml:space="preserve">WR-PK-0069</t>
  </si>
  <si>
    <t xml:space="preserve">WR-PK-0070</t>
  </si>
  <si>
    <t xml:space="preserve">WR-PK-0071</t>
  </si>
  <si>
    <t xml:space="preserve">WR-PK-0072</t>
  </si>
  <si>
    <t xml:space="preserve">WR-PK-0073</t>
  </si>
  <si>
    <t xml:space="preserve">WR-PK-0074</t>
  </si>
  <si>
    <t xml:space="preserve">WR-PK-0075</t>
  </si>
  <si>
    <t xml:space="preserve">WR-PK-0076</t>
  </si>
  <si>
    <t xml:space="preserve">WR-PK-0077</t>
  </si>
  <si>
    <t xml:space="preserve">Crucial Engineering Services</t>
  </si>
  <si>
    <t xml:space="preserve">EPC (WR list)</t>
  </si>
  <si>
    <t xml:space="preserve">WR-PK-0078</t>
  </si>
  <si>
    <t xml:space="preserve">FND</t>
  </si>
  <si>
    <t xml:space="preserve">WR-PK-0079</t>
  </si>
  <si>
    <t xml:space="preserve">Global Corporation</t>
  </si>
  <si>
    <t xml:space="preserve">WR-PK-0080</t>
  </si>
  <si>
    <t xml:space="preserve">MM Engineering</t>
  </si>
  <si>
    <t xml:space="preserve">WR-PK-0081</t>
  </si>
  <si>
    <t xml:space="preserve">WR-PK-0082</t>
  </si>
  <si>
    <t xml:space="preserve">WR-PK-0083</t>
  </si>
  <si>
    <t xml:space="preserve">WR-PK-0084</t>
  </si>
  <si>
    <t xml:space="preserve">WR-PK-0085</t>
  </si>
  <si>
    <t xml:space="preserve">WR-PK-0086</t>
  </si>
  <si>
    <t xml:space="preserve">WR-PK-0087</t>
  </si>
  <si>
    <t xml:space="preserve">WR-PK-0088</t>
  </si>
  <si>
    <t xml:space="preserve">WR-PK-0089</t>
  </si>
  <si>
    <t xml:space="preserve">WR-PK-0090</t>
  </si>
  <si>
    <t xml:space="preserve">WR-PK-0091</t>
  </si>
  <si>
    <t xml:space="preserve">WR-PK-0092</t>
  </si>
  <si>
    <t xml:space="preserve">WR-PK-0093</t>
  </si>
  <si>
    <t xml:space="preserve">WR-PK-0094</t>
  </si>
  <si>
    <t xml:space="preserve">Engro Fertilizer</t>
  </si>
  <si>
    <t xml:space="preserve">WR list</t>
  </si>
  <si>
    <t xml:space="preserve">WR-PK-0095</t>
  </si>
  <si>
    <t xml:space="preserve">Fatima Fertilizer</t>
  </si>
  <si>
    <t xml:space="preserve">Sadiqabad / Sheikhupura</t>
  </si>
  <si>
    <t xml:space="preserve">WR-PK-0096</t>
  </si>
  <si>
    <t xml:space="preserve">Fauji Fertilizer Bin Qaism Limited</t>
  </si>
  <si>
    <t xml:space="preserve">FFBL merged into FFC (2025) — treat as FFC Port Qasim unit; verify</t>
  </si>
  <si>
    <t xml:space="preserve">WR-PK-0097</t>
  </si>
  <si>
    <t xml:space="preserve">WR-PK-0098</t>
  </si>
  <si>
    <t xml:space="preserve">WR-PK-0099</t>
  </si>
  <si>
    <t xml:space="preserve">Ismail Industries Limited</t>
  </si>
  <si>
    <t xml:space="preserve">Beverages / FMCG (WR list)</t>
  </si>
  <si>
    <t xml:space="preserve">WR-PK-0100</t>
  </si>
  <si>
    <t xml:space="preserve">Pak Beverages Limited</t>
  </si>
  <si>
    <t xml:space="preserve">021- 32569801</t>
  </si>
  <si>
    <t xml:space="preserve">May be the same PepsiCo franchise as Pakistan Beverage Ltd — confirm</t>
  </si>
  <si>
    <t xml:space="preserve">WR-PK-0101</t>
  </si>
  <si>
    <t xml:space="preserve">Pepsi Hyderabad</t>
  </si>
  <si>
    <t xml:space="preserve">Mr. Malik Ayub</t>
  </si>
  <si>
    <t xml:space="preserve">Quality</t>
  </si>
  <si>
    <t xml:space="preserve">0332-5250269</t>
  </si>
  <si>
    <t xml:space="preserve">WR-PK-0102</t>
  </si>
  <si>
    <t xml:space="preserve">Pepsi Sukkur Beverages</t>
  </si>
  <si>
    <t xml:space="preserve">Mr. Najeeb ur Rehman</t>
  </si>
  <si>
    <t xml:space="preserve">DM Quality</t>
  </si>
  <si>
    <t xml:space="preserve">0333-7127939</t>
  </si>
  <si>
    <t xml:space="preserve">najeeb.rehman@sukkurbeverages.net</t>
  </si>
  <si>
    <t xml:space="preserve">WR-PK-0103</t>
  </si>
  <si>
    <t xml:space="preserve">Quiz Juice</t>
  </si>
  <si>
    <t xml:space="preserve">WR-PK-0104</t>
  </si>
  <si>
    <t xml:space="preserve">Shafi Glucochem (Pvt) Limited</t>
  </si>
  <si>
    <t xml:space="preserve">Starch / Glucose</t>
  </si>
  <si>
    <t xml:space="preserve">WR-PK-0105</t>
  </si>
  <si>
    <t xml:space="preserve">Silver Lake Foods Products</t>
  </si>
  <si>
    <t xml:space="preserve">WR-PK-0106</t>
  </si>
  <si>
    <t xml:space="preserve">Live project signal — Punjab EPD EIA register: poultry protein rendering unit</t>
  </si>
  <si>
    <t xml:space="preserve">WR-PK-0107</t>
  </si>
  <si>
    <t xml:space="preserve">Established operator — PSX listed (food &amp; personal care)</t>
  </si>
  <si>
    <t xml:space="preserve">WR-PK-0108</t>
  </si>
  <si>
    <t xml:space="preserve">WR-PK-0109</t>
  </si>
  <si>
    <t xml:space="preserve">WR-PK-0110</t>
  </si>
  <si>
    <t xml:space="preserve">WR-PK-0111</t>
  </si>
  <si>
    <t xml:space="preserve">WR-PK-0112</t>
  </si>
  <si>
    <t xml:space="preserve">Live project signal — Sindh EPA EIA: 'Karachi Greenfield' bottling plant, Port Qasim — US$40.5M, ~101,000 bottles/hr</t>
  </si>
  <si>
    <t xml:space="preserve">WR-PK-0113</t>
  </si>
  <si>
    <t xml:space="preserve">WR-PK-0114</t>
  </si>
  <si>
    <t xml:space="preserve">WR-PK-0115</t>
  </si>
  <si>
    <t xml:space="preserve">WR-PK-0116</t>
  </si>
  <si>
    <t xml:space="preserve">WR-PK-0117</t>
  </si>
  <si>
    <t xml:space="preserve">WR-PK-0118</t>
  </si>
  <si>
    <t xml:space="preserve">WR-PK-0119</t>
  </si>
  <si>
    <t xml:space="preserve">WR-PK-0120</t>
  </si>
  <si>
    <t xml:space="preserve">Established operator — PSX listed (sugar &amp; allied)</t>
  </si>
  <si>
    <t xml:space="preserve">WR-PK-0121</t>
  </si>
  <si>
    <t xml:space="preserve">WR-PK-0122</t>
  </si>
  <si>
    <t xml:space="preserve">WR-PK-0123</t>
  </si>
  <si>
    <t xml:space="preserve">WR-PK-0124</t>
  </si>
  <si>
    <t xml:space="preserve">WR-PK-0125</t>
  </si>
  <si>
    <t xml:space="preserve">WR-PK-0126</t>
  </si>
  <si>
    <t xml:space="preserve">WR-PK-0127</t>
  </si>
  <si>
    <t xml:space="preserve">WR-PK-0128</t>
  </si>
  <si>
    <t xml:space="preserve">WR-PK-0129</t>
  </si>
  <si>
    <t xml:space="preserve">WR-PK-0130</t>
  </si>
  <si>
    <t xml:space="preserve">WR-PK-0131</t>
  </si>
  <si>
    <t xml:space="preserve">WR-PK-0132</t>
  </si>
  <si>
    <t xml:space="preserve">WR-PK-0133</t>
  </si>
  <si>
    <t xml:space="preserve">WR-PK-0134</t>
  </si>
  <si>
    <t xml:space="preserve">WR-PK-0135</t>
  </si>
  <si>
    <t xml:space="preserve">WR-PK-0136</t>
  </si>
  <si>
    <t xml:space="preserve">WR-PK-0137</t>
  </si>
  <si>
    <t xml:space="preserve">WR-PK-0138</t>
  </si>
  <si>
    <t xml:space="preserve">WR-PK-0139</t>
  </si>
  <si>
    <t xml:space="preserve">WR-PK-0140</t>
  </si>
  <si>
    <t xml:space="preserve">WR-PK-0141</t>
  </si>
  <si>
    <t xml:space="preserve">WR-PK-0142</t>
  </si>
  <si>
    <t xml:space="preserve">WR-PK-0143</t>
  </si>
  <si>
    <t xml:space="preserve">Established operator — PSX listed (glass &amp; ceramics)</t>
  </si>
  <si>
    <t xml:space="preserve">WR-PK-0144</t>
  </si>
  <si>
    <t xml:space="preserve">WR-PK-0145</t>
  </si>
  <si>
    <t xml:space="preserve">WR-PK-0146</t>
  </si>
  <si>
    <t xml:space="preserve">WR-PK-0147</t>
  </si>
  <si>
    <t xml:space="preserve">WR-PK-0148</t>
  </si>
  <si>
    <t xml:space="preserve">Live project signal — Punjab EPD EIA register: establishment of ceramic sanitary-ware and tile plant</t>
  </si>
  <si>
    <t xml:space="preserve">WR-PK-0149</t>
  </si>
  <si>
    <t xml:space="preserve">WR-PK-0150</t>
  </si>
  <si>
    <t xml:space="preserve">WR-PK-0151</t>
  </si>
  <si>
    <t xml:space="preserve">WR-PK-0152</t>
  </si>
  <si>
    <t xml:space="preserve">WR-PK-0153</t>
  </si>
  <si>
    <t xml:space="preserve">WR-PK-0154</t>
  </si>
  <si>
    <t xml:space="preserve">WR-PK-0155</t>
  </si>
  <si>
    <t xml:space="preserve">Established operator — Accord (Jun-2025): 249 workers</t>
  </si>
  <si>
    <t xml:space="preserve">WR-PK-0156</t>
  </si>
  <si>
    <t xml:space="preserve">Live project signal — Punjab EPD EIA 2025 filing</t>
  </si>
  <si>
    <t xml:space="preserve">WR-PK-0157</t>
  </si>
  <si>
    <t xml:space="preserve">WR-PK-0158</t>
  </si>
  <si>
    <t xml:space="preserve">WR-PK-0159</t>
  </si>
  <si>
    <t xml:space="preserve">WR-PK-0160</t>
  </si>
  <si>
    <t xml:space="preserve">WR-PK-0161</t>
  </si>
  <si>
    <t xml:space="preserve">WR-PK-0162</t>
  </si>
  <si>
    <t xml:space="preserve">WR-PK-0163</t>
  </si>
  <si>
    <t xml:space="preserve">WR-PK-0164</t>
  </si>
  <si>
    <t xml:space="preserve">Asia Petroleum</t>
  </si>
  <si>
    <t xml:space="preserve">WR-PK-0165</t>
  </si>
  <si>
    <t xml:space="preserve">Cnergyico Pk Limited (formerly Byco)</t>
  </si>
  <si>
    <t xml:space="preserve">Syed Shehensha Naqvi</t>
  </si>
  <si>
    <t xml:space="preserve">03332358906</t>
  </si>
  <si>
    <t xml:space="preserve">WR-PK-0166</t>
  </si>
  <si>
    <t xml:space="preserve">Eni Pakistan Limited</t>
  </si>
  <si>
    <t xml:space="preserve">WR-PK-0167</t>
  </si>
  <si>
    <t xml:space="preserve">National Refinery Limited</t>
  </si>
  <si>
    <t xml:space="preserve">WR-PK-0168</t>
  </si>
  <si>
    <t xml:space="preserve">Pakistan Refinery</t>
  </si>
  <si>
    <t xml:space="preserve">PSO</t>
  </si>
  <si>
    <t xml:space="preserve">WR-PK-0169</t>
  </si>
  <si>
    <t xml:space="preserve">Pakistan State Oil (PSO)</t>
  </si>
  <si>
    <t xml:space="preserve">Karachi (depots nationwide)</t>
  </si>
  <si>
    <t xml:space="preserve">WR-PK-0170</t>
  </si>
  <si>
    <t xml:space="preserve">Parco — Pak-Arab Refinery Ltd (PARCO) — Mid-Country Refinery</t>
  </si>
  <si>
    <t xml:space="preserve">Mahmoodkot (Muzaffargarh)</t>
  </si>
  <si>
    <t xml:space="preserve">WR-PK-0171</t>
  </si>
  <si>
    <t xml:space="preserve">Prime International Oil &amp; Gas Company</t>
  </si>
  <si>
    <t xml:space="preserve">WR-PK-0172</t>
  </si>
  <si>
    <t xml:space="preserve">United Energy Pakistan Limited</t>
  </si>
  <si>
    <t xml:space="preserve">Waqas</t>
  </si>
  <si>
    <t xml:space="preserve">03018292379</t>
  </si>
  <si>
    <t xml:space="preserve">WR-PK-0173</t>
  </si>
  <si>
    <t xml:space="preserve">Wafi Energy (Shell)</t>
  </si>
  <si>
    <t xml:space="preserve">Wafi Energy</t>
  </si>
  <si>
    <t xml:space="preserve">WR-PK-0174</t>
  </si>
  <si>
    <t xml:space="preserve">WR-PK-0175</t>
  </si>
  <si>
    <t xml:space="preserve">WR-PK-0176</t>
  </si>
  <si>
    <t xml:space="preserve">WR-PK-0177</t>
  </si>
  <si>
    <t xml:space="preserve">WR-PK-0178</t>
  </si>
  <si>
    <t xml:space="preserve">WR-PK-0179</t>
  </si>
  <si>
    <t xml:space="preserve">WR-PK-0180</t>
  </si>
  <si>
    <t xml:space="preserve">WR-PK-0181</t>
  </si>
  <si>
    <t xml:space="preserve">WR-PK-0182</t>
  </si>
  <si>
    <t xml:space="preserve">WR-PK-0183</t>
  </si>
  <si>
    <t xml:space="preserve">ABBOTT LABORATORIES</t>
  </si>
  <si>
    <t xml:space="preserve">WR-PK-0184</t>
  </si>
  <si>
    <t xml:space="preserve">Actviz Pharma</t>
  </si>
  <si>
    <t xml:space="preserve">WR-PK-0185</t>
  </si>
  <si>
    <t xml:space="preserve">Adamjee Pharmaceuti</t>
  </si>
  <si>
    <t xml:space="preserve">WR-PK-0186</t>
  </si>
  <si>
    <t xml:space="preserve">Aftab Chemical Co</t>
  </si>
  <si>
    <t xml:space="preserve">WR-PK-0187</t>
  </si>
  <si>
    <t xml:space="preserve">Akhai Pharmaceuticals ...</t>
  </si>
  <si>
    <t xml:space="preserve">WR-PK-0188</t>
  </si>
  <si>
    <t xml:space="preserve">Al Kausar Medico</t>
  </si>
  <si>
    <t xml:space="preserve">WR-PK-0189</t>
  </si>
  <si>
    <t xml:space="preserve">Ali Gohar &amp; Company (P...</t>
  </si>
  <si>
    <t xml:space="preserve">WR-PK-0190</t>
  </si>
  <si>
    <t xml:space="preserve">Alina Combine Pharmace...</t>
  </si>
  <si>
    <t xml:space="preserve">WR-PK-0191</t>
  </si>
  <si>
    <t xml:space="preserve">Ambrosia Pharmaceut...</t>
  </si>
  <si>
    <t xml:space="preserve">WR-PK-0192</t>
  </si>
  <si>
    <t xml:space="preserve">Amros Pharmaceuticals</t>
  </si>
  <si>
    <t xml:space="preserve">WR-PK-0193</t>
  </si>
  <si>
    <t xml:space="preserve">Arif Exporter</t>
  </si>
  <si>
    <t xml:space="preserve">WR-PK-0194</t>
  </si>
  <si>
    <t xml:space="preserve">Aristovie Pharmaceu...</t>
  </si>
  <si>
    <t xml:space="preserve">WR-PK-0195</t>
  </si>
  <si>
    <t xml:space="preserve">AsianContinental (Head...</t>
  </si>
  <si>
    <t xml:space="preserve">WR-PK-0196</t>
  </si>
  <si>
    <t xml:space="preserve">Atco Laboratories</t>
  </si>
  <si>
    <t xml:space="preserve">WR-PK-0197</t>
  </si>
  <si>
    <t xml:space="preserve">Atlas Pharma</t>
  </si>
  <si>
    <t xml:space="preserve">WR-PK-0198</t>
  </si>
  <si>
    <t xml:space="preserve">Azee Agency</t>
  </si>
  <si>
    <t xml:space="preserve">WR-PK-0199</t>
  </si>
  <si>
    <t xml:space="preserve">Azon Pharmaceutical &amp; ...</t>
  </si>
  <si>
    <t xml:space="preserve">WR-PK-0200</t>
  </si>
  <si>
    <t xml:space="preserve">Barrett Hodgson Pakist...</t>
  </si>
  <si>
    <t xml:space="preserve">WR-PK-0201</t>
  </si>
  <si>
    <t xml:space="preserve">BAYER PAKISTAN (PRIVATE) LIMITED</t>
  </si>
  <si>
    <t xml:space="preserve">Bayer</t>
  </si>
  <si>
    <t xml:space="preserve">WR-PK-0202</t>
  </si>
  <si>
    <t xml:space="preserve">BioGuardian Pharma Pvt...</t>
  </si>
  <si>
    <t xml:space="preserve">WR-PK-0203</t>
  </si>
  <si>
    <t xml:space="preserve">Bionta Pharma</t>
  </si>
  <si>
    <t xml:space="preserve">WR-PK-0204</t>
  </si>
  <si>
    <t xml:space="preserve">Bioxx Pharmaceuticals</t>
  </si>
  <si>
    <t xml:space="preserve">WR-PK-0205</t>
  </si>
  <si>
    <t xml:space="preserve">Bonn Pharma</t>
  </si>
  <si>
    <t xml:space="preserve">WR-PK-0206</t>
  </si>
  <si>
    <t xml:space="preserve">Bosch Pharmaceuticals</t>
  </si>
  <si>
    <t xml:space="preserve">Bosch</t>
  </si>
  <si>
    <t xml:space="preserve">WR-PK-0207</t>
  </si>
  <si>
    <t xml:space="preserve">Brookes Pharma (Privat...</t>
  </si>
  <si>
    <t xml:space="preserve">WR-PK-0208</t>
  </si>
  <si>
    <t xml:space="preserve">Burj Health Care</t>
  </si>
  <si>
    <t xml:space="preserve">WR-PK-0209</t>
  </si>
  <si>
    <t xml:space="preserve">Bysel Pharma</t>
  </si>
  <si>
    <t xml:space="preserve">WR-PK-0210</t>
  </si>
  <si>
    <t xml:space="preserve">Carryfor Pharmaceutica...</t>
  </si>
  <si>
    <t xml:space="preserve">WR-PK-0211</t>
  </si>
  <si>
    <t xml:space="preserve">CCL PHARMA (PVT.) LIMITED</t>
  </si>
  <si>
    <t xml:space="preserve">WR-PK-0212</t>
  </si>
  <si>
    <t xml:space="preserve">Cenrjy Pharmaceuticals</t>
  </si>
  <si>
    <t xml:space="preserve">WR-PK-0213</t>
  </si>
  <si>
    <t xml:space="preserve">Ciba Pharmaceutical...</t>
  </si>
  <si>
    <t xml:space="preserve">WR-PK-0214</t>
  </si>
  <si>
    <t xml:space="preserve">City Pharma</t>
  </si>
  <si>
    <t xml:space="preserve">WR-PK-0215</t>
  </si>
  <si>
    <t xml:space="preserve">Cosmo Pharma Int</t>
  </si>
  <si>
    <t xml:space="preserve">WR-PK-0216</t>
  </si>
  <si>
    <t xml:space="preserve">D.k pharma wholesaler</t>
  </si>
  <si>
    <t xml:space="preserve">WR-PK-0217</t>
  </si>
  <si>
    <t xml:space="preserve">Dawakhana Hakeem Tehse...</t>
  </si>
  <si>
    <t xml:space="preserve">WR-PK-0218</t>
  </si>
  <si>
    <t xml:space="preserve">Dr. Hamid General Homo...</t>
  </si>
  <si>
    <t xml:space="preserve">WR-PK-0219</t>
  </si>
  <si>
    <t xml:space="preserve">Dr.ZIA Pharmaceuticals</t>
  </si>
  <si>
    <t xml:space="preserve">WR-PK-0220</t>
  </si>
  <si>
    <t xml:space="preserve">Efroze Pharmaceutical ...</t>
  </si>
  <si>
    <t xml:space="preserve">WR-PK-0221</t>
  </si>
  <si>
    <t xml:space="preserve">Elate Pharma</t>
  </si>
  <si>
    <t xml:space="preserve">WR-PK-0222</t>
  </si>
  <si>
    <t xml:space="preserve">Elderm Pharma</t>
  </si>
  <si>
    <t xml:space="preserve">WR-PK-0223</t>
  </si>
  <si>
    <t xml:space="preserve">Epharm Laboratories He...</t>
  </si>
  <si>
    <t xml:space="preserve">WR-PK-0224</t>
  </si>
  <si>
    <t xml:space="preserve">Epoch Pharmaceuticals</t>
  </si>
  <si>
    <t xml:space="preserve">WR-PK-0225</t>
  </si>
  <si>
    <t xml:space="preserve">Eros Pharma Pvt Ltd</t>
  </si>
  <si>
    <t xml:space="preserve">WR-PK-0226</t>
  </si>
  <si>
    <t xml:space="preserve">Essity Pakistan Limite...</t>
  </si>
  <si>
    <t xml:space="preserve">WR-PK-0227</t>
  </si>
  <si>
    <t xml:space="preserve">FAAS Pharmaceuticals (...</t>
  </si>
  <si>
    <t xml:space="preserve">WR-PK-0228</t>
  </si>
  <si>
    <t xml:space="preserve">Fizon Pharma</t>
  </si>
  <si>
    <t xml:space="preserve">WR-PK-0229</t>
  </si>
  <si>
    <t xml:space="preserve">Galaxy Pharma (Pvt) Li...</t>
  </si>
  <si>
    <t xml:space="preserve">WR-PK-0230</t>
  </si>
  <si>
    <t xml:space="preserve">GENIX PHARMA (PRIVATE) LIMITED</t>
  </si>
  <si>
    <t xml:space="preserve">WR-PK-0231</t>
  </si>
  <si>
    <t xml:space="preserve">Geofman Pharmaceutical...</t>
  </si>
  <si>
    <t xml:space="preserve">WR-PK-0232</t>
  </si>
  <si>
    <t xml:space="preserve">Getway Pharma</t>
  </si>
  <si>
    <t xml:space="preserve">WR-PK-0233</t>
  </si>
  <si>
    <t xml:space="preserve">Getz Pharma (Private) Limited</t>
  </si>
  <si>
    <t xml:space="preserve">WR-PK-0234</t>
  </si>
  <si>
    <t xml:space="preserve">Glaxo Smith Kline</t>
  </si>
  <si>
    <t xml:space="preserve">WR-PK-0235</t>
  </si>
  <si>
    <t xml:space="preserve">Graton Pharma</t>
  </si>
  <si>
    <t xml:space="preserve">WR-PK-0236</t>
  </si>
  <si>
    <t xml:space="preserve">Hahnemann Book Hous...</t>
  </si>
  <si>
    <t xml:space="preserve">WR-PK-0237</t>
  </si>
  <si>
    <t xml:space="preserve">Hamdard Matab - Ara...</t>
  </si>
  <si>
    <t xml:space="preserve">WR-PK-0238</t>
  </si>
  <si>
    <t xml:space="preserve">Hanburies Pharma</t>
  </si>
  <si>
    <t xml:space="preserve">WR-PK-0239</t>
  </si>
  <si>
    <t xml:space="preserve">Helix Pharma (Pvt) Lim...</t>
  </si>
  <si>
    <t xml:space="preserve">WR-PK-0240</t>
  </si>
  <si>
    <t xml:space="preserve">HERBION PAKISTAN (PVT) LTD.</t>
  </si>
  <si>
    <t xml:space="preserve">WR-PK-0241</t>
  </si>
  <si>
    <t xml:space="preserve">High Q Pharma Head Off...</t>
  </si>
  <si>
    <t xml:space="preserve">WR-PK-0242</t>
  </si>
  <si>
    <t xml:space="preserve">Highnoon Laboratories ...</t>
  </si>
  <si>
    <t xml:space="preserve">Highnoon</t>
  </si>
  <si>
    <t xml:space="preserve">WR-PK-0243</t>
  </si>
  <si>
    <t xml:space="preserve">Hilton Pharma Ltd</t>
  </si>
  <si>
    <t xml:space="preserve">WR-PK-0244</t>
  </si>
  <si>
    <t xml:space="preserve">Himmel Pharmaceutical ...</t>
  </si>
  <si>
    <t xml:space="preserve">WR-PK-0245</t>
  </si>
  <si>
    <t xml:space="preserve">Hinucon Global</t>
  </si>
  <si>
    <t xml:space="preserve">WR-PK-0246</t>
  </si>
  <si>
    <t xml:space="preserve">Hiranis Pharmaceutical...</t>
  </si>
  <si>
    <t xml:space="preserve">WR-PK-0247</t>
  </si>
  <si>
    <t xml:space="preserve">Hoora Pharma</t>
  </si>
  <si>
    <t xml:space="preserve">WR-PK-0248</t>
  </si>
  <si>
    <t xml:space="preserve">Indus Pharma (Pvt.) Lt...</t>
  </si>
  <si>
    <t xml:space="preserve">WR-PK-0249</t>
  </si>
  <si>
    <t xml:space="preserve">Intermark Product Line...</t>
  </si>
  <si>
    <t xml:space="preserve">WR-PK-0250</t>
  </si>
  <si>
    <t xml:space="preserve">Inventor Pharma</t>
  </si>
  <si>
    <t xml:space="preserve">WR-PK-0251</t>
  </si>
  <si>
    <t xml:space="preserve">Kaizen Pharmaceuticals</t>
  </si>
  <si>
    <t xml:space="preserve">WR-PK-0252</t>
  </si>
  <si>
    <t xml:space="preserve">Karachi Chemical Indus...</t>
  </si>
  <si>
    <t xml:space="preserve">WR-PK-0253</t>
  </si>
  <si>
    <t xml:space="preserve">Karachi Pharmaceuti...</t>
  </si>
  <si>
    <t xml:space="preserve">WR-PK-0254</t>
  </si>
  <si>
    <t xml:space="preserve">Khushi Herbal Pharm...</t>
  </si>
  <si>
    <t xml:space="preserve">WR-PK-0255</t>
  </si>
  <si>
    <t xml:space="preserve">Kifaz Biopharma Hea...</t>
  </si>
  <si>
    <t xml:space="preserve">WR-PK-0256</t>
  </si>
  <si>
    <t xml:space="preserve">Kifaz Pharmaceutical P...</t>
  </si>
  <si>
    <t xml:space="preserve">WR-PK-0257</t>
  </si>
  <si>
    <t xml:space="preserve">Linz Pharmaceuticals (...</t>
  </si>
  <si>
    <t xml:space="preserve">WR-PK-0258</t>
  </si>
  <si>
    <t xml:space="preserve">Lucky Core Industries</t>
  </si>
  <si>
    <t xml:space="preserve">Karachi / Khewra / Sheikhupura</t>
  </si>
  <si>
    <t xml:space="preserve">WR-PK-0259</t>
  </si>
  <si>
    <t xml:space="preserve">LUMEN PHARMA</t>
  </si>
  <si>
    <t xml:space="preserve">WR-PK-0260</t>
  </si>
  <si>
    <t xml:space="preserve">Macter International L...</t>
  </si>
  <si>
    <t xml:space="preserve">Macter</t>
  </si>
  <si>
    <t xml:space="preserve">WR-PK-0261</t>
  </si>
  <si>
    <t xml:space="preserve">Manhattan Pharma</t>
  </si>
  <si>
    <t xml:space="preserve">WR-PK-0262</t>
  </si>
  <si>
    <t xml:space="preserve">Mansoor Chemicals</t>
  </si>
  <si>
    <t xml:space="preserve">WR-PK-0263</t>
  </si>
  <si>
    <t xml:space="preserve">Maple Pharmaceuticals ...</t>
  </si>
  <si>
    <t xml:space="preserve">WR-PK-0264</t>
  </si>
  <si>
    <t xml:space="preserve">MARTIN DOW</t>
  </si>
  <si>
    <t xml:space="preserve">WR-PK-0265</t>
  </si>
  <si>
    <t xml:space="preserve">Martin Dow Marker</t>
  </si>
  <si>
    <t xml:space="preserve">WR-PK-0266</t>
  </si>
  <si>
    <t xml:space="preserve">Matrix Pharma</t>
  </si>
  <si>
    <t xml:space="preserve">WR-PK-0267</t>
  </si>
  <si>
    <t xml:space="preserve">Maxitech Pharma (Pvt) ...</t>
  </si>
  <si>
    <t xml:space="preserve">WR-PK-0268</t>
  </si>
  <si>
    <t xml:space="preserve">Medal Pharmaceuticals</t>
  </si>
  <si>
    <t xml:space="preserve">WR-PK-0269</t>
  </si>
  <si>
    <t xml:space="preserve">Mediate Pharmaceutical...</t>
  </si>
  <si>
    <t xml:space="preserve">WR-PK-0270</t>
  </si>
  <si>
    <t xml:space="preserve">Mediflow Pharmaceutica...</t>
  </si>
  <si>
    <t xml:space="preserve">WR-PK-0271</t>
  </si>
  <si>
    <t xml:space="preserve">Meditech &amp; Diagnostic ...</t>
  </si>
  <si>
    <t xml:space="preserve">WR-PK-0272</t>
  </si>
  <si>
    <t xml:space="preserve">Mektum Homoeo Pharma</t>
  </si>
  <si>
    <t xml:space="preserve">WR-PK-0273</t>
  </si>
  <si>
    <t xml:space="preserve">Memon Traders Pharmace...</t>
  </si>
  <si>
    <t xml:space="preserve">WR-PK-0274</t>
  </si>
  <si>
    <t xml:space="preserve">MT Pharma</t>
  </si>
  <si>
    <t xml:space="preserve">WR-PK-0275</t>
  </si>
  <si>
    <t xml:space="preserve">Multinational Business...</t>
  </si>
  <si>
    <t xml:space="preserve">WR-PK-0276</t>
  </si>
  <si>
    <t xml:space="preserve">Musani - Pharmaceutica...</t>
  </si>
  <si>
    <t xml:space="preserve">WR-PK-0277</t>
  </si>
  <si>
    <t xml:space="preserve">Neon Chemicals Karachi</t>
  </si>
  <si>
    <t xml:space="preserve">WR-PK-0278</t>
  </si>
  <si>
    <t xml:space="preserve">Novartis Pharmaceutica...</t>
  </si>
  <si>
    <t xml:space="preserve">WR-PK-0279</t>
  </si>
  <si>
    <t xml:space="preserve">Nutrx</t>
  </si>
  <si>
    <t xml:space="preserve">WR-PK-0280</t>
  </si>
  <si>
    <t xml:space="preserve">ONCOVANZ PHARMACEUTICA...</t>
  </si>
  <si>
    <t xml:space="preserve">WR-PK-0281</t>
  </si>
  <si>
    <t xml:space="preserve">Ophth Pharma (Pvt.) Lt...</t>
  </si>
  <si>
    <t xml:space="preserve">WR-PK-0282</t>
  </si>
  <si>
    <t xml:space="preserve">Organic Pharmaceutical...</t>
  </si>
  <si>
    <t xml:space="preserve">WR-PK-0283</t>
  </si>
  <si>
    <t xml:space="preserve">osis pharmaceuticals</t>
  </si>
  <si>
    <t xml:space="preserve">WR-PK-0284</t>
  </si>
  <si>
    <t xml:space="preserve">Pacific Pharmaceuti...</t>
  </si>
  <si>
    <t xml:space="preserve">WR-PK-0285</t>
  </si>
  <si>
    <t xml:space="preserve">PAK BALOCHISTAN MED...</t>
  </si>
  <si>
    <t xml:space="preserve">WR-PK-0286</t>
  </si>
  <si>
    <t xml:space="preserve">Pak Ethanol (Pvt) Limi...</t>
  </si>
  <si>
    <t xml:space="preserve">WR-PK-0287</t>
  </si>
  <si>
    <t xml:space="preserve">Pakistan Pharmaceutical</t>
  </si>
  <si>
    <t xml:space="preserve">WR-PK-0288</t>
  </si>
  <si>
    <t xml:space="preserve">Palpex Pharmaceuticals...</t>
  </si>
  <si>
    <t xml:space="preserve">WR-PK-0289</t>
  </si>
  <si>
    <t xml:space="preserve">PFIZER PAKISTAN</t>
  </si>
  <si>
    <t xml:space="preserve">Ownership change reported 2024 — verify current owner/name</t>
  </si>
  <si>
    <t xml:space="preserve">WR-PK-0290</t>
  </si>
  <si>
    <t xml:space="preserve">PHARMA BUREAU</t>
  </si>
  <si>
    <t xml:space="preserve">WR-PK-0291</t>
  </si>
  <si>
    <t xml:space="preserve">Pharma Chem Internatio...</t>
  </si>
  <si>
    <t xml:space="preserve">WR-PK-0292</t>
  </si>
  <si>
    <t xml:space="preserve">Pharma Five (Pvt.)</t>
  </si>
  <si>
    <t xml:space="preserve">WR-PK-0293</t>
  </si>
  <si>
    <t xml:space="preserve">Pharma Queue</t>
  </si>
  <si>
    <t xml:space="preserve">WR-PK-0294</t>
  </si>
  <si>
    <t xml:space="preserve">Pharmacy Council of Si...</t>
  </si>
  <si>
    <t xml:space="preserve">WR-PK-0295</t>
  </si>
  <si>
    <t xml:space="preserve">Pharmatec Pakistan (Pv...</t>
  </si>
  <si>
    <t xml:space="preserve">WR-PK-0296</t>
  </si>
  <si>
    <t xml:space="preserve">PharmEvo Private Limit...</t>
  </si>
  <si>
    <t xml:space="preserve">WR-PK-0297</t>
  </si>
  <si>
    <t xml:space="preserve">Phlox</t>
  </si>
  <si>
    <t xml:space="preserve">WR-PK-0298</t>
  </si>
  <si>
    <t xml:space="preserve">Precious Pharma</t>
  </si>
  <si>
    <t xml:space="preserve">WR-PK-0299</t>
  </si>
  <si>
    <t xml:space="preserve">Profound Publishers</t>
  </si>
  <si>
    <t xml:space="preserve">WR-PK-0300</t>
  </si>
  <si>
    <t xml:space="preserve">Quality Pharmaceutical...</t>
  </si>
  <si>
    <t xml:space="preserve">WR-PK-0301</t>
  </si>
  <si>
    <t xml:space="preserve">Ranco Pharmaceutica...</t>
  </si>
  <si>
    <t xml:space="preserve">WR-PK-0302</t>
  </si>
  <si>
    <t xml:space="preserve">Rigel Health (Private)...</t>
  </si>
  <si>
    <t xml:space="preserve">WR-PK-0303</t>
  </si>
  <si>
    <t xml:space="preserve">Roche Diagnostics Head...</t>
  </si>
  <si>
    <t xml:space="preserve">WR-PK-0304</t>
  </si>
  <si>
    <t xml:space="preserve">Royal Group</t>
  </si>
  <si>
    <t xml:space="preserve">WR-PK-0305</t>
  </si>
  <si>
    <t xml:space="preserve">S. Ather &amp; Brothers</t>
  </si>
  <si>
    <t xml:space="preserve">WR-PK-0306</t>
  </si>
  <si>
    <t xml:space="preserve">S. J. &amp; G. Fazul Ellah...</t>
  </si>
  <si>
    <t xml:space="preserve">WR-PK-0307</t>
  </si>
  <si>
    <t xml:space="preserve">Safe Pharmaceuticals (...</t>
  </si>
  <si>
    <t xml:space="preserve">WR-PK-0308</t>
  </si>
  <si>
    <t xml:space="preserve">SAMI Pharmaceuticals</t>
  </si>
  <si>
    <t xml:space="preserve">Sami</t>
  </si>
  <si>
    <t xml:space="preserve">WR-PK-0309</t>
  </si>
  <si>
    <t xml:space="preserve">SANOFI AVENTIS PAKISTAN LIMITED</t>
  </si>
  <si>
    <t xml:space="preserve">Ownership change reported 2024-25 — verify current owner/name</t>
  </si>
  <si>
    <t xml:space="preserve">WR-PK-0310</t>
  </si>
  <si>
    <t xml:space="preserve">Scilife Pharma (Pvt.)</t>
  </si>
  <si>
    <t xml:space="preserve">WR-PK-0311</t>
  </si>
  <si>
    <t xml:space="preserve">Shameem sons ( pharmac...</t>
  </si>
  <si>
    <t xml:space="preserve">WR-PK-0312</t>
  </si>
  <si>
    <t xml:space="preserve">Sitech Pharmaceutical ...</t>
  </si>
  <si>
    <t xml:space="preserve">WR-PK-0313</t>
  </si>
  <si>
    <t xml:space="preserve">SK&amp;S Pharmaceuticals</t>
  </si>
  <si>
    <t xml:space="preserve">WR-PK-0314</t>
  </si>
  <si>
    <t xml:space="preserve">SNELL Pharmaceutica...</t>
  </si>
  <si>
    <t xml:space="preserve">WR-PK-0315</t>
  </si>
  <si>
    <t xml:space="preserve">Surge Laboratories</t>
  </si>
  <si>
    <t xml:space="preserve">WR-PK-0316</t>
  </si>
  <si>
    <t xml:space="preserve">Swiss Pharma</t>
  </si>
  <si>
    <t xml:space="preserve">WR-PK-0317</t>
  </si>
  <si>
    <t xml:space="preserve">Szumex International</t>
  </si>
  <si>
    <t xml:space="preserve">WR-PK-0318</t>
  </si>
  <si>
    <t xml:space="preserve">Tabros Pharma (Pvt.) L...</t>
  </si>
  <si>
    <t xml:space="preserve">WR-PK-0319</t>
  </si>
  <si>
    <t xml:space="preserve">Taqwa Pharmaceutical</t>
  </si>
  <si>
    <t xml:space="preserve">WR-PK-0320</t>
  </si>
  <si>
    <t xml:space="preserve">The Fashion Store K...</t>
  </si>
  <si>
    <t xml:space="preserve">WR-PK-0321</t>
  </si>
  <si>
    <t xml:space="preserve">THE SEARLE COMPANY</t>
  </si>
  <si>
    <t xml:space="preserve">WR-PK-0322</t>
  </si>
  <si>
    <t xml:space="preserve">Trigen Pharma Intl (Pv...</t>
  </si>
  <si>
    <t xml:space="preserve">WR-PK-0323</t>
  </si>
  <si>
    <t xml:space="preserve">UDL Pharmaceuticals (A...</t>
  </si>
  <si>
    <t xml:space="preserve">WR-PK-0324</t>
  </si>
  <si>
    <t xml:space="preserve">Uni-Tiech Pharmaceutic...</t>
  </si>
  <si>
    <t xml:space="preserve">WR-PK-0325</t>
  </si>
  <si>
    <t xml:space="preserve">VAREON Pharmaceutical</t>
  </si>
  <si>
    <t xml:space="preserve">WR-PK-0326</t>
  </si>
  <si>
    <t xml:space="preserve">W. Woodward Pakistan</t>
  </si>
  <si>
    <t xml:space="preserve">WR-PK-0327</t>
  </si>
  <si>
    <t xml:space="preserve">Wellmax Pharmaceutical...</t>
  </si>
  <si>
    <t xml:space="preserve">WR-PK-0328</t>
  </si>
  <si>
    <t xml:space="preserve">wish health sciences</t>
  </si>
  <si>
    <t xml:space="preserve">WR-PK-0329</t>
  </si>
  <si>
    <t xml:space="preserve">YSV Group</t>
  </si>
  <si>
    <t xml:space="preserve">WR-PK-0330</t>
  </si>
  <si>
    <t xml:space="preserve">ZAFA PHARMACEUTICAL LABORATORIES</t>
  </si>
  <si>
    <t xml:space="preserve">WR-PK-0331</t>
  </si>
  <si>
    <t xml:space="preserve">Zenith Pharma</t>
  </si>
  <si>
    <t xml:space="preserve">WR-PK-0332</t>
  </si>
  <si>
    <t xml:space="preserve">Zohair Distribution Co</t>
  </si>
  <si>
    <t xml:space="preserve">WR-PK-0333</t>
  </si>
  <si>
    <t xml:space="preserve">WR-PK-0334</t>
  </si>
  <si>
    <t xml:space="preserve">WR-PK-0335</t>
  </si>
  <si>
    <t xml:space="preserve">Live project signal — Punjab EPD EIA register: construction of pharmaceutical facility</t>
  </si>
  <si>
    <t xml:space="preserve">WR-PK-0336</t>
  </si>
  <si>
    <t xml:space="preserve">Established operator — PSX listed (pharmaceuticals &amp; biotech)</t>
  </si>
  <si>
    <t xml:space="preserve">WR-PK-0337</t>
  </si>
  <si>
    <t xml:space="preserve">Live project signal — Punjab EPD EIA register: construction of pharmaceutical factory (QABP SEZ)</t>
  </si>
  <si>
    <t xml:space="preserve">WR-PK-0338</t>
  </si>
  <si>
    <t xml:space="preserve">Live project signal — Punjab EPD EIA register: construction on plots 70–72-B, NIZ Rawat</t>
  </si>
  <si>
    <t xml:space="preserve">WR-PK-0339</t>
  </si>
  <si>
    <t xml:space="preserve">WR-PK-0340</t>
  </si>
  <si>
    <t xml:space="preserve">WR-PK-0341</t>
  </si>
  <si>
    <t xml:space="preserve">Live project signal — Punjab EPD EIA register: establishment of veterinary pharmaceutical facility</t>
  </si>
  <si>
    <t xml:space="preserve">WR-PK-0342</t>
  </si>
  <si>
    <t xml:space="preserve">WR-PK-0343</t>
  </si>
  <si>
    <t xml:space="preserve">WR-PK-0344</t>
  </si>
  <si>
    <t xml:space="preserve">Live project signal — Punjab EPD EIA register: establishment of capsule-shell manufacturing plant</t>
  </si>
  <si>
    <t xml:space="preserve">WR-PK-0345</t>
  </si>
  <si>
    <t xml:space="preserve">WR-PK-0346</t>
  </si>
  <si>
    <t xml:space="preserve">WR-PK-0347</t>
  </si>
  <si>
    <t xml:space="preserve">WR-PK-0348</t>
  </si>
  <si>
    <t xml:space="preserve">WR-PK-0349</t>
  </si>
  <si>
    <t xml:space="preserve">WR-PK-0350</t>
  </si>
  <si>
    <t xml:space="preserve">Established operator — Punjab EPD EIA register lists a filing at QABP plots 12-B &amp; 13-B</t>
  </si>
  <si>
    <t xml:space="preserve">WR-PK-0351</t>
  </si>
  <si>
    <t xml:space="preserve">WR-PK-0352</t>
  </si>
  <si>
    <t xml:space="preserve">WR-PK-0353</t>
  </si>
  <si>
    <t xml:space="preserve">WR-PK-0354</t>
  </si>
  <si>
    <t xml:space="preserve">Live project signal — Punjab EPD EIA register: construction of pharmaceutical unit</t>
  </si>
  <si>
    <t xml:space="preserve">WR-PK-0355</t>
  </si>
  <si>
    <t xml:space="preserve">WR-PK-0356</t>
  </si>
  <si>
    <t xml:space="preserve">WR-PK-0357</t>
  </si>
  <si>
    <t xml:space="preserve">Live project signal — Punjab EPD EIA register: extension of manufacturing unit + biomass boiler</t>
  </si>
  <si>
    <t xml:space="preserve">WR-PK-0358</t>
  </si>
  <si>
    <t xml:space="preserve">WR-PK-0359</t>
  </si>
  <si>
    <t xml:space="preserve">WR-PK-0360</t>
  </si>
  <si>
    <t xml:space="preserve">Live project signal — New hospital build in Karachi (under construction / phased)</t>
  </si>
  <si>
    <t xml:space="preserve">WR-PK-0361</t>
  </si>
  <si>
    <t xml:space="preserve">WR-PK-0362</t>
  </si>
  <si>
    <t xml:space="preserve">WR-PK-0363</t>
  </si>
  <si>
    <t xml:space="preserve">WR-PK-0364</t>
  </si>
  <si>
    <t xml:space="preserve">WR-PK-0365</t>
  </si>
  <si>
    <t xml:space="preserve">Live project signal — Punjab EPD EIA register: establishment of pharmaceutical manufacturing unit (QABP SEZ)</t>
  </si>
  <si>
    <t xml:space="preserve">WR-PK-0366</t>
  </si>
  <si>
    <t xml:space="preserve">WR-PK-0367</t>
  </si>
  <si>
    <t xml:space="preserve">WR-PK-0368</t>
  </si>
  <si>
    <t xml:space="preserve">WR-PK-0369</t>
  </si>
  <si>
    <t xml:space="preserve">Bin Qasim Power Station (I &amp; II)</t>
  </si>
  <si>
    <t xml:space="preserve">K-Electric</t>
  </si>
  <si>
    <t xml:space="preserve">WR-PK-0370</t>
  </si>
  <si>
    <t xml:space="preserve">Engro Powergen Qadirpur</t>
  </si>
  <si>
    <t xml:space="preserve">WR-PK-0371</t>
  </si>
  <si>
    <t xml:space="preserve">Engro Thar Coal Power Project</t>
  </si>
  <si>
    <t xml:space="preserve">WR-PK-0372</t>
  </si>
  <si>
    <t xml:space="preserve">Guddu Thermal Power Station</t>
  </si>
  <si>
    <t xml:space="preserve">WR-PK-0373</t>
  </si>
  <si>
    <t xml:space="preserve">Jamshoro Coal Power Plant (Phase 1 &amp; 2)</t>
  </si>
  <si>
    <t xml:space="preserve">WR-PK-0374</t>
  </si>
  <si>
    <t xml:space="preserve">Karachi Nuclear Power Plant (K-2/K-3)</t>
  </si>
  <si>
    <t xml:space="preserve">WR-PK-0375</t>
  </si>
  <si>
    <t xml:space="preserve">Liberty Power Project</t>
  </si>
  <si>
    <t xml:space="preserve">WR-PK-0376</t>
  </si>
  <si>
    <t xml:space="preserve">Lucky Electric Power Plant</t>
  </si>
  <si>
    <t xml:space="preserve">WR-PK-0377</t>
  </si>
  <si>
    <t xml:space="preserve">Port Qasim Coal Power Plant</t>
  </si>
  <si>
    <t xml:space="preserve">PowerChina / Al-Mirqab</t>
  </si>
  <si>
    <t xml:space="preserve">WR-PK-0378</t>
  </si>
  <si>
    <t xml:space="preserve">Shanghai Electric Coal Power Project</t>
  </si>
  <si>
    <t xml:space="preserve">WR-PK-0379</t>
  </si>
  <si>
    <t xml:space="preserve">Sindh Nooriabad Power Company</t>
  </si>
  <si>
    <t xml:space="preserve">WR-PK-0380</t>
  </si>
  <si>
    <t xml:space="preserve">ThalNova Coal Power Plant</t>
  </si>
  <si>
    <t xml:space="preserve">Thal / Nova</t>
  </si>
  <si>
    <t xml:space="preserve">WR-PK-0381</t>
  </si>
  <si>
    <t xml:space="preserve">WR-PK-0382</t>
  </si>
  <si>
    <t xml:space="preserve">WR-PK-0383</t>
  </si>
  <si>
    <t xml:space="preserve">Established operator — Nationally established IPP</t>
  </si>
  <si>
    <t xml:space="preserve">WR-PK-0384</t>
  </si>
  <si>
    <t xml:space="preserve">WR-PK-0385</t>
  </si>
  <si>
    <t xml:space="preserve">WR-PK-0386</t>
  </si>
  <si>
    <t xml:space="preserve">WR-PK-0387</t>
  </si>
  <si>
    <t xml:space="preserve">WR-PK-0388</t>
  </si>
  <si>
    <t xml:space="preserve">WR-PK-0389</t>
  </si>
  <si>
    <t xml:space="preserve">WR-PK-0390</t>
  </si>
  <si>
    <t xml:space="preserve">WR-PK-0391</t>
  </si>
  <si>
    <t xml:space="preserve">WR-PK-0392</t>
  </si>
  <si>
    <t xml:space="preserve">WR-PK-0393</t>
  </si>
  <si>
    <t xml:space="preserve">WR-PK-0394</t>
  </si>
  <si>
    <t xml:space="preserve">WR-PK-0395</t>
  </si>
  <si>
    <t xml:space="preserve">WR-PK-0396</t>
  </si>
  <si>
    <t xml:space="preserve">WR-PK-0397</t>
  </si>
  <si>
    <t xml:space="preserve">WR-PK-0398</t>
  </si>
  <si>
    <t xml:space="preserve">WR-PK-0399</t>
  </si>
  <si>
    <t xml:space="preserve">WR-PK-0400</t>
  </si>
  <si>
    <t xml:space="preserve">WR-PK-0401</t>
  </si>
  <si>
    <t xml:space="preserve">WR-PK-0402</t>
  </si>
  <si>
    <t xml:space="preserve">WR-PK-0403</t>
  </si>
  <si>
    <t xml:space="preserve">WR-PK-0404</t>
  </si>
  <si>
    <t xml:space="preserve">WR-PK-0405</t>
  </si>
  <si>
    <t xml:space="preserve">Amafhh Paper &amp; Board Works</t>
  </si>
  <si>
    <t xml:space="preserve">WR-PK-0406</t>
  </si>
  <si>
    <t xml:space="preserve">Thal Limited</t>
  </si>
  <si>
    <t xml:space="preserve">WR-PK-0407</t>
  </si>
  <si>
    <t xml:space="preserve">Tri Pack</t>
  </si>
  <si>
    <t xml:space="preserve">WR-PK-0408</t>
  </si>
  <si>
    <t xml:space="preserve">Live project signal — Punjab EPD EIA 2025: installation of paper and board mill</t>
  </si>
  <si>
    <t xml:space="preserve">WR-PK-0409</t>
  </si>
  <si>
    <t xml:space="preserve">WR-PK-0410</t>
  </si>
  <si>
    <t xml:space="preserve">WR-PK-0411</t>
  </si>
  <si>
    <t xml:space="preserve">WR-PK-0412</t>
  </si>
  <si>
    <t xml:space="preserve">WR-PK-0413</t>
  </si>
  <si>
    <t xml:space="preserve">WR-PK-0414</t>
  </si>
  <si>
    <t xml:space="preserve">WR-PK-0415</t>
  </si>
  <si>
    <t xml:space="preserve">WR-PK-0416</t>
  </si>
  <si>
    <t xml:space="preserve">Live project signal — Punjab EPD EIA register: multi-layer aseptic packaging unit</t>
  </si>
  <si>
    <t xml:space="preserve">WR-PK-0417</t>
  </si>
  <si>
    <t xml:space="preserve">International Industries Limited</t>
  </si>
  <si>
    <t xml:space="preserve">Steel Pipes</t>
  </si>
  <si>
    <t xml:space="preserve">WR-PK-0418</t>
  </si>
  <si>
    <t xml:space="preserve">International Steels Limited</t>
  </si>
  <si>
    <t xml:space="preserve">Flat Steel</t>
  </si>
  <si>
    <t xml:space="preserve">WR-PK-0419</t>
  </si>
  <si>
    <t xml:space="preserve">WR-PK-0420</t>
  </si>
  <si>
    <t xml:space="preserve">WR-PK-0421</t>
  </si>
  <si>
    <t xml:space="preserve">WR-PK-0422</t>
  </si>
  <si>
    <t xml:space="preserve">Established operator — PSX listed (engineering)</t>
  </si>
  <si>
    <t xml:space="preserve">WR-PK-0423</t>
  </si>
  <si>
    <t xml:space="preserve">WR-PK-0424</t>
  </si>
  <si>
    <t xml:space="preserve">WR-PK-0425</t>
  </si>
  <si>
    <t xml:space="preserve">WR-PK-0426</t>
  </si>
  <si>
    <t xml:space="preserve">WR-PK-0427</t>
  </si>
  <si>
    <t xml:space="preserve">WR-PK-0428</t>
  </si>
  <si>
    <t xml:space="preserve">WR-PK-0429</t>
  </si>
  <si>
    <t xml:space="preserve">WR-PK-0430</t>
  </si>
  <si>
    <t xml:space="preserve">WR-PK-0431</t>
  </si>
  <si>
    <t xml:space="preserve">Live project signal — Punjab EPD EIA register: construction of auto-parts forging unit</t>
  </si>
  <si>
    <t xml:space="preserve">WR-PK-0432</t>
  </si>
  <si>
    <t xml:space="preserve">WR-PK-0433</t>
  </si>
  <si>
    <t xml:space="preserve">WR-PK-0434</t>
  </si>
  <si>
    <t xml:space="preserve">WR-PK-0435</t>
  </si>
  <si>
    <t xml:space="preserve">WR-PK-0436</t>
  </si>
  <si>
    <t xml:space="preserve">WR-PK-0437</t>
  </si>
  <si>
    <t xml:space="preserve">WR-PK-0438</t>
  </si>
  <si>
    <t xml:space="preserve">WR-PK-0439</t>
  </si>
  <si>
    <t xml:space="preserve">WR-PK-0440</t>
  </si>
  <si>
    <t xml:space="preserve">WR-PK-0441</t>
  </si>
  <si>
    <t xml:space="preserve">WR-PK-0442</t>
  </si>
  <si>
    <t xml:space="preserve">WR-PK-0443</t>
  </si>
  <si>
    <t xml:space="preserve">WR-PK-0444</t>
  </si>
  <si>
    <t xml:space="preserve">WR-PK-0445</t>
  </si>
  <si>
    <t xml:space="preserve">WR-PK-0446</t>
  </si>
  <si>
    <t xml:space="preserve">WR-PK-0447</t>
  </si>
  <si>
    <t xml:space="preserve">WR-PK-0448</t>
  </si>
  <si>
    <t xml:space="preserve">WR-PK-0449</t>
  </si>
  <si>
    <t xml:space="preserve">WR-PK-0450</t>
  </si>
  <si>
    <t xml:space="preserve">Established operator — PSX listed. 2025-26 season: 199,765 t cane crushed, 21,339 t sugar</t>
  </si>
  <si>
    <t xml:space="preserve">WR-PK-0451</t>
  </si>
  <si>
    <t xml:space="preserve">WR-PK-0452</t>
  </si>
  <si>
    <t xml:space="preserve">WR-PK-0453</t>
  </si>
  <si>
    <t xml:space="preserve">WR-PK-0454</t>
  </si>
  <si>
    <t xml:space="preserve">WR-PK-0455</t>
  </si>
  <si>
    <t xml:space="preserve">WR-PK-0456</t>
  </si>
  <si>
    <t xml:space="preserve">WR-PK-0457</t>
  </si>
  <si>
    <t xml:space="preserve">WR-PK-0458</t>
  </si>
  <si>
    <t xml:space="preserve">WR-PK-0459</t>
  </si>
  <si>
    <t xml:space="preserve">WR-PK-0460</t>
  </si>
  <si>
    <t xml:space="preserve">WR-PK-0461</t>
  </si>
  <si>
    <t xml:space="preserve">A-One Textile Towel Industries</t>
  </si>
  <si>
    <t xml:space="preserve">Towel &amp; Terry</t>
  </si>
  <si>
    <t xml:space="preserve">WR-PK-0462</t>
  </si>
  <si>
    <t xml:space="preserve">A. Essak &amp; Sons Home Textiles</t>
  </si>
  <si>
    <t xml:space="preserve">Home Textile Exporters (Heimtextil list)</t>
  </si>
  <si>
    <t xml:space="preserve">Scheme-33, Phase I D-3, S.I.T.E. Super Highway</t>
  </si>
  <si>
    <t xml:space="preserve">WR-PK-0463</t>
  </si>
  <si>
    <t xml:space="preserve">A.A Enterprises</t>
  </si>
  <si>
    <t xml:space="preserve">WR-PK-0464</t>
  </si>
  <si>
    <t xml:space="preserve">A.B. Export Pvt. Ltd.</t>
  </si>
  <si>
    <t xml:space="preserve">WR-PK-0465</t>
  </si>
  <si>
    <t xml:space="preserve">A.E. Fabrics (Pvt.) Ltd.</t>
  </si>
  <si>
    <t xml:space="preserve">WR-PK-0466</t>
  </si>
  <si>
    <t xml:space="preserve">A.K.Brothers</t>
  </si>
  <si>
    <t xml:space="preserve">WR-PK-0467</t>
  </si>
  <si>
    <t xml:space="preserve">A.N. TEXTILES</t>
  </si>
  <si>
    <t xml:space="preserve">Plot No. D-50, Phase-I, S.I.T.E II 75850 Karachi</t>
  </si>
  <si>
    <t xml:space="preserve">Intro email sent</t>
  </si>
  <si>
    <t xml:space="preserve">WR-PK-0468</t>
  </si>
  <si>
    <t xml:space="preserve">A.R. Textile</t>
  </si>
  <si>
    <t xml:space="preserve">WR-PK-0469</t>
  </si>
  <si>
    <t xml:space="preserve">A.Z Textiles</t>
  </si>
  <si>
    <t xml:space="preserve">WR-PK-0470</t>
  </si>
  <si>
    <t xml:space="preserve">Aamir Textile Industries</t>
  </si>
  <si>
    <t xml:space="preserve">WR-PK-0471</t>
  </si>
  <si>
    <t xml:space="preserve">Abdul Ahad Textile Mills Pvt Limited</t>
  </si>
  <si>
    <t xml:space="preserve">WR-PK-0472</t>
  </si>
  <si>
    <t xml:space="preserve">Abdullah Textile</t>
  </si>
  <si>
    <t xml:space="preserve">WR-PK-0473</t>
  </si>
  <si>
    <t xml:space="preserve">Abdur Rahman Corporation (Pvt.) Ltd.</t>
  </si>
  <si>
    <t xml:space="preserve">WR-PK-0474</t>
  </si>
  <si>
    <t xml:space="preserve">Acme Mills (Pvt) Limited</t>
  </si>
  <si>
    <t xml:space="preserve">A/3, Street No. 5 off Manghophir Road 75700 Karachi</t>
  </si>
  <si>
    <t xml:space="preserve">WR-PK-0475</t>
  </si>
  <si>
    <t xml:space="preserve">Adamjee Textile Mills (Pvt) Ltd.</t>
  </si>
  <si>
    <t xml:space="preserve">E-17/A, S.I.T.E 75700 Karachi</t>
  </si>
  <si>
    <t xml:space="preserve">WR-PK-0476</t>
  </si>
  <si>
    <t xml:space="preserve">ADIL HASSAN TEXTILES</t>
  </si>
  <si>
    <t xml:space="preserve">WR-PK-0477</t>
  </si>
  <si>
    <t xml:space="preserve">Adil Tahir Textiles</t>
  </si>
  <si>
    <t xml:space="preserve">WR-PK-0478</t>
  </si>
  <si>
    <t xml:space="preserve">Adnan Apparel</t>
  </si>
  <si>
    <t xml:space="preserve">L-15/1, Block-21, Federal B Industrial Area</t>
  </si>
  <si>
    <t xml:space="preserve">WR-PK-0479</t>
  </si>
  <si>
    <t xml:space="preserve">Afroze Textiles Industries (Private) Limited</t>
  </si>
  <si>
    <t xml:space="preserve">General (WR list)</t>
  </si>
  <si>
    <t xml:space="preserve">Gulsha-e-Maymar</t>
  </si>
  <si>
    <t xml:space="preserve">WR-PK-0480</t>
  </si>
  <si>
    <t xml:space="preserve">Ahmad Hassan Textile Mills Ltd.</t>
  </si>
  <si>
    <t xml:space="preserve">WR-PK-0481</t>
  </si>
  <si>
    <t xml:space="preserve">Ahmad Manufacturing Corporation</t>
  </si>
  <si>
    <t xml:space="preserve">WR-PK-0482</t>
  </si>
  <si>
    <t xml:space="preserve">Ahmad Weaving</t>
  </si>
  <si>
    <t xml:space="preserve">WR-PK-0483</t>
  </si>
  <si>
    <t xml:space="preserve">Ahmed Fine Textile Mills Limited</t>
  </si>
  <si>
    <t xml:space="preserve">WR-PK-0484</t>
  </si>
  <si>
    <t xml:space="preserve">AI TEXTILES</t>
  </si>
  <si>
    <t xml:space="preserve">WR-PK-0485</t>
  </si>
  <si>
    <t xml:space="preserve">Aims Manufacturing Corporation</t>
  </si>
  <si>
    <t xml:space="preserve">WR-PK-0486</t>
  </si>
  <si>
    <t xml:space="preserve">Akhtar Textile Industries (Private)Limited</t>
  </si>
  <si>
    <t xml:space="preserve">WR-PK-0487</t>
  </si>
  <si>
    <t xml:space="preserve">Akkar International</t>
  </si>
  <si>
    <t xml:space="preserve">WR-PK-0488</t>
  </si>
  <si>
    <t xml:space="preserve">Aksa Tex Style Industries</t>
  </si>
  <si>
    <t xml:space="preserve">WR-PK-0489</t>
  </si>
  <si>
    <t xml:space="preserve">Al Asif Textile Industries</t>
  </si>
  <si>
    <t xml:space="preserve">WR-PK-0490</t>
  </si>
  <si>
    <t xml:space="preserve">Al Barka Fabrics (Pvt) Ltd.</t>
  </si>
  <si>
    <t xml:space="preserve">WR-PK-0491</t>
  </si>
  <si>
    <t xml:space="preserve">Al Ghani Terry Mills (Pvt.) Ltd.</t>
  </si>
  <si>
    <t xml:space="preserve">WR-PK-0492</t>
  </si>
  <si>
    <t xml:space="preserve">Al Habib Industries</t>
  </si>
  <si>
    <t xml:space="preserve">WR-PK-0493</t>
  </si>
  <si>
    <t xml:space="preserve">Al Hadi Textile (Pvt.) Ltd.</t>
  </si>
  <si>
    <t xml:space="preserve">WR-PK-0494</t>
  </si>
  <si>
    <t xml:space="preserve">Al Mumtaz</t>
  </si>
  <si>
    <t xml:space="preserve">WR-PK-0495</t>
  </si>
  <si>
    <t xml:space="preserve">Al Quresh Fabrics (Pvt) Ltd.</t>
  </si>
  <si>
    <t xml:space="preserve">WR-PK-0496</t>
  </si>
  <si>
    <t xml:space="preserve">Al Raheem Textile</t>
  </si>
  <si>
    <t xml:space="preserve">WR-PK-0497</t>
  </si>
  <si>
    <t xml:space="preserve">Al Rahim Textile Industries Limited</t>
  </si>
  <si>
    <t xml:space="preserve">WR-PK-0498</t>
  </si>
  <si>
    <t xml:space="preserve">Al-Hamza Trading Company</t>
  </si>
  <si>
    <t xml:space="preserve">WR-PK-0499</t>
  </si>
  <si>
    <t xml:space="preserve">Al-Haseeb Textiles</t>
  </si>
  <si>
    <t xml:space="preserve">WR-PK-0500</t>
  </si>
  <si>
    <t xml:space="preserve">Al-Karam Textile Mills (Private) Limited</t>
  </si>
  <si>
    <t xml:space="preserve">WR-PK-0501</t>
  </si>
  <si>
    <t xml:space="preserve">Al-Karam Towel Industries</t>
  </si>
  <si>
    <t xml:space="preserve">WR-PK-0502</t>
  </si>
  <si>
    <t xml:space="preserve">Al-Rehman Global Tex (Pvt.) Ltd.</t>
  </si>
  <si>
    <t xml:space="preserve">WR-PK-0503</t>
  </si>
  <si>
    <t xml:space="preserve">Alfalah Textiles</t>
  </si>
  <si>
    <t xml:space="preserve">Dp 7 Sector 12 D North Karachi Industrial Area</t>
  </si>
  <si>
    <t xml:space="preserve">WR-PK-0504</t>
  </si>
  <si>
    <t xml:space="preserve">Ali Tex International</t>
  </si>
  <si>
    <t xml:space="preserve">WR-PK-0505</t>
  </si>
  <si>
    <t xml:space="preserve">Alpine Contex</t>
  </si>
  <si>
    <t xml:space="preserve">WR-PK-0506</t>
  </si>
  <si>
    <t xml:space="preserve">Ansari Textile Industries (Pvt) Ltd</t>
  </si>
  <si>
    <t xml:space="preserve">WR-PK-0507</t>
  </si>
  <si>
    <t xml:space="preserve">Anwartex Industries (Pvt.) Ltd.</t>
  </si>
  <si>
    <t xml:space="preserve">Ep-11 Sector 12 C North Karachi Industrial Area Central</t>
  </si>
  <si>
    <t xml:space="preserve">WR-PK-0508</t>
  </si>
  <si>
    <t xml:space="preserve">ANY Textile Mills (Pvt) Ltd.</t>
  </si>
  <si>
    <t xml:space="preserve">WR-PK-0509</t>
  </si>
  <si>
    <t xml:space="preserve">Aqil Textile Industries</t>
  </si>
  <si>
    <t xml:space="preserve">WR-PK-0510</t>
  </si>
  <si>
    <t xml:space="preserve">Arabian Textile Mills</t>
  </si>
  <si>
    <t xml:space="preserve">WR-PK-0511</t>
  </si>
  <si>
    <t xml:space="preserve">Arif Towels</t>
  </si>
  <si>
    <t xml:space="preserve">WR-PK-0512</t>
  </si>
  <si>
    <t xml:space="preserve">ARM Textile</t>
  </si>
  <si>
    <t xml:space="preserve">WR-PK-0513</t>
  </si>
  <si>
    <t xml:space="preserve">Arshad Corporation (Pvt) Ltd.</t>
  </si>
  <si>
    <t xml:space="preserve">WR-PK-0514</t>
  </si>
  <si>
    <t xml:space="preserve">Artistic Apparels (Private) Limited</t>
  </si>
  <si>
    <t xml:space="preserve">WR-PK-0515</t>
  </si>
  <si>
    <t xml:space="preserve">Artistic Denim Mills Limited</t>
  </si>
  <si>
    <t xml:space="preserve">WR-PK-0516</t>
  </si>
  <si>
    <t xml:space="preserve">Artistic Fabric Mills (Private) Limited</t>
  </si>
  <si>
    <t xml:space="preserve">WR-PK-0517</t>
  </si>
  <si>
    <t xml:space="preserve">Artistic Garment Industries</t>
  </si>
  <si>
    <t xml:space="preserve">WR-PK-0518</t>
  </si>
  <si>
    <t xml:space="preserve">Artistic Milliners (Private) Limited</t>
  </si>
  <si>
    <t xml:space="preserve">WR-PK-0519</t>
  </si>
  <si>
    <t xml:space="preserve">Artistic Towel Mills</t>
  </si>
  <si>
    <t xml:space="preserve">WR-PK-0520</t>
  </si>
  <si>
    <t xml:space="preserve">Arzoo Textile Mills Limited</t>
  </si>
  <si>
    <t xml:space="preserve">WR-PK-0521</t>
  </si>
  <si>
    <t xml:space="preserve">As'habi Textile Mills</t>
  </si>
  <si>
    <t xml:space="preserve">SITE Area</t>
  </si>
  <si>
    <t xml:space="preserve">WR-PK-0522</t>
  </si>
  <si>
    <t xml:space="preserve">Asacotex</t>
  </si>
  <si>
    <t xml:space="preserve">Plot # 10/1, Sector-17, Korangi Industrial Area</t>
  </si>
  <si>
    <t xml:space="preserve">WR-PK-0523</t>
  </si>
  <si>
    <t xml:space="preserve">Asiatex Corporation</t>
  </si>
  <si>
    <t xml:space="preserve">WR-PK-0524</t>
  </si>
  <si>
    <t xml:space="preserve">Aspen Textile (Pvt.) Ltd.</t>
  </si>
  <si>
    <t xml:space="preserve">WR-PK-0525</t>
  </si>
  <si>
    <t xml:space="preserve">Awaisia Fabrics</t>
  </si>
  <si>
    <t xml:space="preserve">WR-PK-0526</t>
  </si>
  <si>
    <t xml:space="preserve">Awesome Textile Industries</t>
  </si>
  <si>
    <t xml:space="preserve">WR-PK-0527</t>
  </si>
  <si>
    <t xml:space="preserve">Ayoob Textiles Mills Ltd.</t>
  </si>
  <si>
    <t xml:space="preserve">A/16 - A S.I.T.E. Area Karachi</t>
  </si>
  <si>
    <t xml:space="preserve">WR-PK-0528</t>
  </si>
  <si>
    <t xml:space="preserve">Azam Textiles</t>
  </si>
  <si>
    <t xml:space="preserve">SITE Town, Industrial Area Plot No. A-134, S.I.T.E. Super Highway Phase-1,</t>
  </si>
  <si>
    <t xml:space="preserve">WR-PK-0529</t>
  </si>
  <si>
    <t xml:space="preserve">B.I.L. Exporters</t>
  </si>
  <si>
    <t xml:space="preserve">WR-PK-0530</t>
  </si>
  <si>
    <t xml:space="preserve">Bari Textile Mills (Pvt) Ltd</t>
  </si>
  <si>
    <t xml:space="preserve">WR-PK-0531</t>
  </si>
  <si>
    <t xml:space="preserve">BEBE JAN Pakistan Limited</t>
  </si>
  <si>
    <t xml:space="preserve">WR-PK-0532</t>
  </si>
  <si>
    <t xml:space="preserve">Best Towel Industries</t>
  </si>
  <si>
    <t xml:space="preserve">WR-PK-0533</t>
  </si>
  <si>
    <t xml:space="preserve">Bilal Textile</t>
  </si>
  <si>
    <t xml:space="preserve">WR-PK-0534</t>
  </si>
  <si>
    <t xml:space="preserve">Bismillah Textiles Private Company</t>
  </si>
  <si>
    <t xml:space="preserve">WR-PK-0535</t>
  </si>
  <si>
    <t xml:space="preserve">Bismillah Towel Industries</t>
  </si>
  <si>
    <t xml:space="preserve">Plot 128, Street-1, Sector 4/f Khayber Colony Orangi Town</t>
  </si>
  <si>
    <t xml:space="preserve">WR-PK-0536</t>
  </si>
  <si>
    <t xml:space="preserve">Bita Textile Mills (Private) Limited</t>
  </si>
  <si>
    <t xml:space="preserve">WR-PK-0537</t>
  </si>
  <si>
    <t xml:space="preserve">Boom Tex</t>
  </si>
  <si>
    <t xml:space="preserve">WR-PK-0538</t>
  </si>
  <si>
    <t xml:space="preserve">Canaria Tex</t>
  </si>
  <si>
    <t xml:space="preserve">WR-PK-0539</t>
  </si>
  <si>
    <t xml:space="preserve">Castle Industries</t>
  </si>
  <si>
    <t xml:space="preserve">Phase-1, Castle Industries D-1, Scheme-33, S.I.T.E. Super Highway</t>
  </si>
  <si>
    <t xml:space="preserve">WR-PK-0540</t>
  </si>
  <si>
    <t xml:space="preserve">Chaudhary Ijaz Ahmad &amp; Sons (CISONS)</t>
  </si>
  <si>
    <t xml:space="preserve">WR-PK-0541</t>
  </si>
  <si>
    <t xml:space="preserve">Chaudhry Fabrics</t>
  </si>
  <si>
    <t xml:space="preserve">WR-PK-0542</t>
  </si>
  <si>
    <t xml:space="preserve">Chawala Enterprises</t>
  </si>
  <si>
    <t xml:space="preserve">WR-PK-0543</t>
  </si>
  <si>
    <t xml:space="preserve">Chawla Tex Industries.</t>
  </si>
  <si>
    <t xml:space="preserve">WR-PK-0544</t>
  </si>
  <si>
    <t xml:space="preserve">Classique Textile (Pvt.) Ltd.</t>
  </si>
  <si>
    <t xml:space="preserve">WR-PK-0545</t>
  </si>
  <si>
    <t xml:space="preserve">Continental Home Textiles (Pvt) Ltd.</t>
  </si>
  <si>
    <t xml:space="preserve">Plot C1/D4, Sector 16, Korangi Industrial Area</t>
  </si>
  <si>
    <t xml:space="preserve">WR-PK-0546</t>
  </si>
  <si>
    <t xml:space="preserve">Continental Textiles (Pvt) Limited</t>
  </si>
  <si>
    <t xml:space="preserve">WR-PK-0547</t>
  </si>
  <si>
    <t xml:space="preserve">Continental Towels (Pvt) Limited</t>
  </si>
  <si>
    <t xml:space="preserve">Plot 141, Sector 27, Korangi Industrial Area</t>
  </si>
  <si>
    <t xml:space="preserve">WR-PK-0548</t>
  </si>
  <si>
    <t xml:space="preserve">Cotton Empire (Private) Limited</t>
  </si>
  <si>
    <t xml:space="preserve">A-33 (C), Textile Avenue, S.I.T.E</t>
  </si>
  <si>
    <t xml:space="preserve">WR-PK-0549</t>
  </si>
  <si>
    <t xml:space="preserve">Cotton World</t>
  </si>
  <si>
    <t xml:space="preserve">Plot No. F 566A Gate No. 2 S.I.T.E Opposite Ayesha Masjid near Zia Mor S.I.T.E</t>
  </si>
  <si>
    <t xml:space="preserve">WR-PK-0550</t>
  </si>
  <si>
    <t xml:space="preserve">Crown Textile</t>
  </si>
  <si>
    <t xml:space="preserve">WR-PK-0551</t>
  </si>
  <si>
    <t xml:space="preserve">Dagha Textiles (Pvt) Ltd</t>
  </si>
  <si>
    <t xml:space="preserve">WR-PK-0552</t>
  </si>
  <si>
    <t xml:space="preserve">Dalal Industries (Pvt) Ltd.</t>
  </si>
  <si>
    <t xml:space="preserve">Dalal Industries (Pvt) Ltd. B-25/A, S.I.T.E.</t>
  </si>
  <si>
    <t xml:space="preserve">WR-PK-0553</t>
  </si>
  <si>
    <t xml:space="preserve">Danial Fabrics (Pvt) Ltd</t>
  </si>
  <si>
    <t xml:space="preserve">WR-PK-0554</t>
  </si>
  <si>
    <t xml:space="preserve">Decent Textiles</t>
  </si>
  <si>
    <t xml:space="preserve">WR-PK-0555</t>
  </si>
  <si>
    <t xml:space="preserve">Decent Toweler Weaving Factory</t>
  </si>
  <si>
    <t xml:space="preserve">WR-PK-0556</t>
  </si>
  <si>
    <t xml:space="preserve">Dedhi Brothers</t>
  </si>
  <si>
    <t xml:space="preserve">WR-PK-0557</t>
  </si>
  <si>
    <t xml:space="preserve">Delin Tex</t>
  </si>
  <si>
    <t xml:space="preserve">WR-PK-0558</t>
  </si>
  <si>
    <t xml:space="preserve">Delta Textile Mills</t>
  </si>
  <si>
    <t xml:space="preserve">WR-PK-0559</t>
  </si>
  <si>
    <t xml:space="preserve">Denim Clothing Company</t>
  </si>
  <si>
    <t xml:space="preserve">Closed / Not operating — Closed. Sold to Naveena</t>
  </si>
  <si>
    <t xml:space="preserve">WR file says closed / sold to Naveena, but Accord (Jun-2025) lists 'Denim Clothing Company (Unit 2)' with 3,524 workers — re-check ownership and status</t>
  </si>
  <si>
    <t xml:space="preserve">WR-PK-0560</t>
  </si>
  <si>
    <t xml:space="preserve">Diamond Export Industries (Pvt.) Ltd.</t>
  </si>
  <si>
    <t xml:space="preserve">WR-PK-0561</t>
  </si>
  <si>
    <t xml:space="preserve">DIN Textile Mills Ltd.</t>
  </si>
  <si>
    <t xml:space="preserve">Din House No. 35-A/1 Lalazar Area, M.T. Khan Road</t>
  </si>
  <si>
    <t xml:space="preserve">WR-PK-0562</t>
  </si>
  <si>
    <t xml:space="preserve">Diwan Towel Industries.</t>
  </si>
  <si>
    <t xml:space="preserve">WR-PK-0563</t>
  </si>
  <si>
    <t xml:space="preserve">East Asian Home Textiles</t>
  </si>
  <si>
    <t xml:space="preserve">15-H Block 6 PECHS</t>
  </si>
  <si>
    <t xml:space="preserve">WR-PK-0564</t>
  </si>
  <si>
    <t xml:space="preserve">Eastern Garments (Private) Limited</t>
  </si>
  <si>
    <t xml:space="preserve">WR-PK-0565</t>
  </si>
  <si>
    <t xml:space="preserve">Ellahi Fabrics</t>
  </si>
  <si>
    <t xml:space="preserve">WR-PK-0566</t>
  </si>
  <si>
    <t xml:space="preserve">Emerald Textiles Pvt. Limited</t>
  </si>
  <si>
    <t xml:space="preserve">WR-PK-0567</t>
  </si>
  <si>
    <t xml:space="preserve">Eminence Towels</t>
  </si>
  <si>
    <t xml:space="preserve">H-23/3, Landhi Industrial Area Rd. Korangi Landhi To Shed No. 15</t>
  </si>
  <si>
    <t xml:space="preserve">WR-PK-0568</t>
  </si>
  <si>
    <t xml:space="preserve">Esquire Garments</t>
  </si>
  <si>
    <t xml:space="preserve">47/1 Sector, 12-D</t>
  </si>
  <si>
    <t xml:space="preserve">WR-PK-0569</t>
  </si>
  <si>
    <t xml:space="preserve">ESS ARR Exports (Pvt.) Ltd.</t>
  </si>
  <si>
    <t xml:space="preserve">WR-PK-0570</t>
  </si>
  <si>
    <t xml:space="preserve">Essatex Industries</t>
  </si>
  <si>
    <t xml:space="preserve">C 13 Site Area</t>
  </si>
  <si>
    <t xml:space="preserve">WR-PK-0571</t>
  </si>
  <si>
    <t xml:space="preserve">Everest Export Corporation</t>
  </si>
  <si>
    <t xml:space="preserve">WR-PK-0572</t>
  </si>
  <si>
    <t xml:space="preserve">EWC Interiors</t>
  </si>
  <si>
    <t xml:space="preserve">Plot 13-C, Lane-11 Bukhari Commercial, Phase 6, DHA</t>
  </si>
  <si>
    <t xml:space="preserve">WR-PK-0573</t>
  </si>
  <si>
    <t xml:space="preserve">F.B.Industries</t>
  </si>
  <si>
    <t xml:space="preserve">Plot #4 &amp; 5, Sector 12-D, North Karachi Industrial Area</t>
  </si>
  <si>
    <t xml:space="preserve">WR-PK-0574</t>
  </si>
  <si>
    <t xml:space="preserve">F.K.R. Manufacturers &amp; Exporters</t>
  </si>
  <si>
    <t xml:space="preserve">WR-PK-0575</t>
  </si>
  <si>
    <t xml:space="preserve">FA Textiles</t>
  </si>
  <si>
    <t xml:space="preserve">WR-PK-0576</t>
  </si>
  <si>
    <t xml:space="preserve">Faisal Mustafa Textile Mills (Pvt) Ltd.</t>
  </si>
  <si>
    <t xml:space="preserve">WR-PK-0577</t>
  </si>
  <si>
    <t xml:space="preserve">Faisal Spinning Mills Ltd. Dyeing, Processing and Home Textiles</t>
  </si>
  <si>
    <t xml:space="preserve">WR-PK-0578</t>
  </si>
  <si>
    <t xml:space="preserve">FAISAL TOWEL</t>
  </si>
  <si>
    <t xml:space="preserve">WR-PK-0579</t>
  </si>
  <si>
    <t xml:space="preserve">Falcon Textiles</t>
  </si>
  <si>
    <t xml:space="preserve">A-29/a Manghopir Road SITE</t>
  </si>
  <si>
    <t xml:space="preserve">WR-PK-0580</t>
  </si>
  <si>
    <t xml:space="preserve">Famous Textile Industries</t>
  </si>
  <si>
    <t xml:space="preserve">WR-PK-0581</t>
  </si>
  <si>
    <t xml:space="preserve">Farah Towel Factory</t>
  </si>
  <si>
    <t xml:space="preserve">WR-PK-0582</t>
  </si>
  <si>
    <t xml:space="preserve">Fashion Art International</t>
  </si>
  <si>
    <t xml:space="preserve">LA 3/1, Al Hadi Street, Block 22, F.B. Industrial Area</t>
  </si>
  <si>
    <t xml:space="preserve">WR-PK-0583</t>
  </si>
  <si>
    <t xml:space="preserve">Fashion Knit Industries</t>
  </si>
  <si>
    <t xml:space="preserve">Plot # C-30 S.I.T.E. Avenue</t>
  </si>
  <si>
    <t xml:space="preserve">WR-PK-0584</t>
  </si>
  <si>
    <t xml:space="preserve">Fatex Home Textile Exporters</t>
  </si>
  <si>
    <t xml:space="preserve">WR-PK-0585</t>
  </si>
  <si>
    <t xml:space="preserve">Fatima Towel Industries</t>
  </si>
  <si>
    <t xml:space="preserve">Phase-1, Plot No. D-64, S.I.T.E., Super Highway</t>
  </si>
  <si>
    <t xml:space="preserve">WR-PK-0586</t>
  </si>
  <si>
    <t xml:space="preserve">Fatima Weaving Mills (Pvt) Ltd</t>
  </si>
  <si>
    <t xml:space="preserve">201, 131/1 2nd Floor Speedy Tower</t>
  </si>
  <si>
    <t xml:space="preserve">WR-PK-0587</t>
  </si>
  <si>
    <t xml:space="preserve">Fazal Sardar Textile Mills</t>
  </si>
  <si>
    <t xml:space="preserve">WR-PK-0588</t>
  </si>
  <si>
    <t xml:space="preserve">Feroze Feeds Limited</t>
  </si>
  <si>
    <t xml:space="preserve">WR-PK-0589</t>
  </si>
  <si>
    <t xml:space="preserve">Feroze1888 Mills Limited</t>
  </si>
  <si>
    <t xml:space="preserve">WR-PK-0590</t>
  </si>
  <si>
    <t xml:space="preserve">Fine Towels</t>
  </si>
  <si>
    <t xml:space="preserve">D-34 Phase-1 Site Super Highway</t>
  </si>
  <si>
    <t xml:space="preserve">WR-PK-0591</t>
  </si>
  <si>
    <t xml:space="preserve">FKN Textiles</t>
  </si>
  <si>
    <t xml:space="preserve">WR-PK-0592</t>
  </si>
  <si>
    <t xml:space="preserve">Friends Cotton Products</t>
  </si>
  <si>
    <t xml:space="preserve">A/10 B, Textile Avenue, S.I.T.E.</t>
  </si>
  <si>
    <t xml:space="preserve">WR-PK-0593</t>
  </si>
  <si>
    <t xml:space="preserve">Friends Export</t>
  </si>
  <si>
    <t xml:space="preserve">WR-PK-0594</t>
  </si>
  <si>
    <t xml:space="preserve">Gadoon Textile Mills Ltd</t>
  </si>
  <si>
    <t xml:space="preserve">Kathore</t>
  </si>
  <si>
    <t xml:space="preserve">WR-PK-0595</t>
  </si>
  <si>
    <t xml:space="preserve">Garibsons (Private) Limited</t>
  </si>
  <si>
    <t xml:space="preserve">WR-PK-0596</t>
  </si>
  <si>
    <t xml:space="preserve">General Textile Corporation</t>
  </si>
  <si>
    <t xml:space="preserve">WR-PK-0597</t>
  </si>
  <si>
    <t xml:space="preserve">Genius Textiles Network</t>
  </si>
  <si>
    <t xml:space="preserve">WR-PK-0598</t>
  </si>
  <si>
    <t xml:space="preserve">Ghazali Textile Industries</t>
  </si>
  <si>
    <t xml:space="preserve">Plot #7, Sector 6-B, North Karachi Industrial Area</t>
  </si>
  <si>
    <t xml:space="preserve">WR-PK-0599</t>
  </si>
  <si>
    <t xml:space="preserve">Ghia Industries Pvt. Ltd.</t>
  </si>
  <si>
    <t xml:space="preserve">Export Processing Zone, Plot 06, Sector A III</t>
  </si>
  <si>
    <t xml:space="preserve">WR-PK-0600</t>
  </si>
  <si>
    <t xml:space="preserve">GIA Associates (Pvt) Limited</t>
  </si>
  <si>
    <t xml:space="preserve">WR-PK-0601</t>
  </si>
  <si>
    <t xml:space="preserve">Gohar Textile Mills (Pvt) Ltd.</t>
  </si>
  <si>
    <t xml:space="preserve">WR-PK-0602</t>
  </si>
  <si>
    <t xml:space="preserve">Goldline Textile And Towels</t>
  </si>
  <si>
    <t xml:space="preserve">Plot no. 85, Street 13/1, Sector 6-B, North Karachi Industrial Area</t>
  </si>
  <si>
    <t xml:space="preserve">WR-PK-0603</t>
  </si>
  <si>
    <t xml:space="preserve">Grace Knitwear (Pvt) Limited</t>
  </si>
  <si>
    <t xml:space="preserve">Plot No. 46, Sector-28, Korangi Industrial Area</t>
  </si>
  <si>
    <t xml:space="preserve">WR-PK-0604</t>
  </si>
  <si>
    <t xml:space="preserve">Gujrat Dyeing</t>
  </si>
  <si>
    <t xml:space="preserve">WR-PK-0605</t>
  </si>
  <si>
    <t xml:space="preserve">Gul Ahmed Textile Mills Limited</t>
  </si>
  <si>
    <t xml:space="preserve">WR-PK-0606</t>
  </si>
  <si>
    <t xml:space="preserve">H.A.R. Textile Mills (Pvt.) Limited</t>
  </si>
  <si>
    <t xml:space="preserve">WR-PK-0607</t>
  </si>
  <si>
    <t xml:space="preserve">Habib Calico Weaving Ind. (Pvt) Ltd.</t>
  </si>
  <si>
    <t xml:space="preserve">WR-PK-0608</t>
  </si>
  <si>
    <t xml:space="preserve">Habib Sugar Mills Limited (Textile Division)</t>
  </si>
  <si>
    <t xml:space="preserve">WR-PK-0609</t>
  </si>
  <si>
    <t xml:space="preserve">Haji Rafiuddin Waliuddin</t>
  </si>
  <si>
    <t xml:space="preserve">WSA 19-21 Block 1 F B Area</t>
  </si>
  <si>
    <t xml:space="preserve">WR-PK-0610</t>
  </si>
  <si>
    <t xml:space="preserve">Hammad Textile</t>
  </si>
  <si>
    <t xml:space="preserve">1st Floor, Plot Z-122, Z-123, Main Tipu Sultan Road</t>
  </si>
  <si>
    <t xml:space="preserve">WR-PK-0611</t>
  </si>
  <si>
    <t xml:space="preserve">Hamsons Industries</t>
  </si>
  <si>
    <t xml:space="preserve">WR-PK-0612</t>
  </si>
  <si>
    <t xml:space="preserve">Hamza Textiles</t>
  </si>
  <si>
    <t xml:space="preserve">WR-PK-0613</t>
  </si>
  <si>
    <t xml:space="preserve">Hamza Towels</t>
  </si>
  <si>
    <t xml:space="preserve">C-1, 122, 123 &amp; 124, Sector 16-B North Karachi Industrial Area</t>
  </si>
  <si>
    <t xml:space="preserve">WR-PK-0614</t>
  </si>
  <si>
    <t xml:space="preserve">Hamza Weaving Factory</t>
  </si>
  <si>
    <t xml:space="preserve">WR-PK-0615</t>
  </si>
  <si>
    <t xml:space="preserve">Harmain Textile</t>
  </si>
  <si>
    <t xml:space="preserve">WR-PK-0616</t>
  </si>
  <si>
    <t xml:space="preserve">Haroon Corporation (Pvt.) Ltd.</t>
  </si>
  <si>
    <t xml:space="preserve">WR-PK-0617</t>
  </si>
  <si>
    <t xml:space="preserve">Haroon Fabrics (Pvt) Ltd.</t>
  </si>
  <si>
    <t xml:space="preserve">WR-PK-0618</t>
  </si>
  <si>
    <t xml:space="preserve">Hasham Towel</t>
  </si>
  <si>
    <t xml:space="preserve">Plot No. 126, Sector 24, Korangi Industrial Area</t>
  </si>
  <si>
    <t xml:space="preserve">WR-PK-0619</t>
  </si>
  <si>
    <t xml:space="preserve">Hassan Textiles</t>
  </si>
  <si>
    <t xml:space="preserve">WR-PK-0620</t>
  </si>
  <si>
    <t xml:space="preserve">Hayat Trading and Industrial Int. Ent. (PVt) Ltd</t>
  </si>
  <si>
    <t xml:space="preserve">WR-PK-0621</t>
  </si>
  <si>
    <t xml:space="preserve">HBR Textiles</t>
  </si>
  <si>
    <t xml:space="preserve">WR-PK-0622</t>
  </si>
  <si>
    <t xml:space="preserve">Hira Textile</t>
  </si>
  <si>
    <t xml:space="preserve">WR-PK-0623</t>
  </si>
  <si>
    <t xml:space="preserve">Home Fusion</t>
  </si>
  <si>
    <t xml:space="preserve">Plot # D-240, Metroville S.I.T.E Area</t>
  </si>
  <si>
    <t xml:space="preserve">WR-PK-0624</t>
  </si>
  <si>
    <t xml:space="preserve">Homecare Textiles</t>
  </si>
  <si>
    <t xml:space="preserve">D115 S.I.T.E. Area</t>
  </si>
  <si>
    <t xml:space="preserve">WR-PK-0625</t>
  </si>
  <si>
    <t xml:space="preserve">Hometex Corporation</t>
  </si>
  <si>
    <t xml:space="preserve">WR-PK-0626</t>
  </si>
  <si>
    <t xml:space="preserve">Hudabia Textile</t>
  </si>
  <si>
    <t xml:space="preserve">WR-PK-0627</t>
  </si>
  <si>
    <t xml:space="preserve">HUQAS APPAREL</t>
  </si>
  <si>
    <t xml:space="preserve">WR-PK-0628</t>
  </si>
  <si>
    <t xml:space="preserve">Hussain Textiles</t>
  </si>
  <si>
    <t xml:space="preserve">Plot No. F/54 - D-2 S.I.T.E. Industrial</t>
  </si>
  <si>
    <t xml:space="preserve">WR-PK-0629</t>
  </si>
  <si>
    <t xml:space="preserve">Iantex Industries</t>
  </si>
  <si>
    <t xml:space="preserve">WR-PK-0630</t>
  </si>
  <si>
    <t xml:space="preserve">Ideal Fashion Industries</t>
  </si>
  <si>
    <t xml:space="preserve">C-2A, S.I.T.E, Main Manghopir Road</t>
  </si>
  <si>
    <t xml:space="preserve">WR-PK-0631</t>
  </si>
  <si>
    <t xml:space="preserve">Ihsan Cotton Products (Pvt.) Ltd.</t>
  </si>
  <si>
    <t xml:space="preserve">WR-PK-0632</t>
  </si>
  <si>
    <t xml:space="preserve">Ikram &amp; Co</t>
  </si>
  <si>
    <t xml:space="preserve">WR-PK-0633</t>
  </si>
  <si>
    <t xml:space="preserve">Iman Home Textile (Pvt.) Ltd.</t>
  </si>
  <si>
    <t xml:space="preserve">WR-PK-0634</t>
  </si>
  <si>
    <t xml:space="preserve">Imperial Towel Industries(Pvt)Ltd.</t>
  </si>
  <si>
    <t xml:space="preserve">D-56/A, Scheme-33, Phase 1, S.I.T.E. II, Super Highway</t>
  </si>
  <si>
    <t xml:space="preserve">WR-PK-0635</t>
  </si>
  <si>
    <t xml:space="preserve">Imran Textiles</t>
  </si>
  <si>
    <t xml:space="preserve">WR-PK-0636</t>
  </si>
  <si>
    <t xml:space="preserve">Imran Traders</t>
  </si>
  <si>
    <t xml:space="preserve">WR-PK-0637</t>
  </si>
  <si>
    <t xml:space="preserve">Indus Dyeing &amp; Manufacturing</t>
  </si>
  <si>
    <t xml:space="preserve">WR-PK-0638</t>
  </si>
  <si>
    <t xml:space="preserve">Inter Asia Textiles</t>
  </si>
  <si>
    <t xml:space="preserve">WR-PK-0639</t>
  </si>
  <si>
    <t xml:space="preserve">Inter Textile &amp; Leather Solution</t>
  </si>
  <si>
    <t xml:space="preserve">WR-PK-0640</t>
  </si>
  <si>
    <t xml:space="preserve">International Textile Ind.</t>
  </si>
  <si>
    <t xml:space="preserve">WR-PK-0641</t>
  </si>
  <si>
    <t xml:space="preserve">International Textile Limited</t>
  </si>
  <si>
    <t xml:space="preserve">WR-PK-0642</t>
  </si>
  <si>
    <t xml:space="preserve">Irfan Noman Brothers (Private) Limited</t>
  </si>
  <si>
    <t xml:space="preserve">WR-PK-0643</t>
  </si>
  <si>
    <t xml:space="preserve">J B Industries</t>
  </si>
  <si>
    <t xml:space="preserve">WR-PK-0644</t>
  </si>
  <si>
    <t xml:space="preserve">J.K. Group of Companies</t>
  </si>
  <si>
    <t xml:space="preserve">WR-PK-0645</t>
  </si>
  <si>
    <t xml:space="preserve">J.Sons Industries</t>
  </si>
  <si>
    <t xml:space="preserve">Plot No. 50, Sector-27, Korangi Industrial Area</t>
  </si>
  <si>
    <t xml:space="preserve">WR-PK-0646</t>
  </si>
  <si>
    <t xml:space="preserve">Jafco Industries</t>
  </si>
  <si>
    <t xml:space="preserve">WR-PK-0647</t>
  </si>
  <si>
    <t xml:space="preserve">Jamal Fabrics (Pvt) Ltd.</t>
  </si>
  <si>
    <t xml:space="preserve">WR-PK-0648</t>
  </si>
  <si>
    <t xml:space="preserve">JAWAID BROSS LABEL INDUS (PRIVATE) LIMITED</t>
  </si>
  <si>
    <t xml:space="preserve">Street No. 4, Haroonabad, Plot 5/2, Sector 15 D-266, S.I.T.E. Area Karachi</t>
  </si>
  <si>
    <t xml:space="preserve">WR-PK-0649</t>
  </si>
  <si>
    <t xml:space="preserve">Jawwad Industries</t>
  </si>
  <si>
    <t xml:space="preserve">WR-PK-0650</t>
  </si>
  <si>
    <t xml:space="preserve">JEEA AHSEN TEXTILES (PVT.) LIMITED</t>
  </si>
  <si>
    <t xml:space="preserve">WR-PK-0651</t>
  </si>
  <si>
    <t xml:space="preserve">JNS Textile</t>
  </si>
  <si>
    <t xml:space="preserve">WR-PK-0652</t>
  </si>
  <si>
    <t xml:space="preserve">JOONAID CARPETS</t>
  </si>
  <si>
    <t xml:space="preserve">Al-Falah Chamber 2nd Floor, Abdullah Haroon road</t>
  </si>
  <si>
    <t xml:space="preserve">WR-PK-0653</t>
  </si>
  <si>
    <t xml:space="preserve">K&amp;S Textiles</t>
  </si>
  <si>
    <t xml:space="preserve">WR-PK-0654</t>
  </si>
  <si>
    <t xml:space="preserve">K.B. Exports (Private) Limited</t>
  </si>
  <si>
    <t xml:space="preserve">WR-PK-0655</t>
  </si>
  <si>
    <t xml:space="preserve">Kam International</t>
  </si>
  <si>
    <t xml:space="preserve">WR-PK-0656</t>
  </si>
  <si>
    <t xml:space="preserve">Kamal Ltd.</t>
  </si>
  <si>
    <t xml:space="preserve">Kamal Group</t>
  </si>
  <si>
    <t xml:space="preserve">WR-PK-0657</t>
  </si>
  <si>
    <t xml:space="preserve">Kamal Textiles Limited</t>
  </si>
  <si>
    <t xml:space="preserve">WR-PK-0658</t>
  </si>
  <si>
    <t xml:space="preserve">Kassim Textiles (Pvt) Limited</t>
  </si>
  <si>
    <t xml:space="preserve">WR-PK-0659</t>
  </si>
  <si>
    <t xml:space="preserve">Kausar Processing Industries (Pvt) Ltd.</t>
  </si>
  <si>
    <t xml:space="preserve">WR-PK-0660</t>
  </si>
  <si>
    <t xml:space="preserve">Khaksar International</t>
  </si>
  <si>
    <t xml:space="preserve">WR-PK-0661</t>
  </si>
  <si>
    <t xml:space="preserve">Khizra Fabrics</t>
  </si>
  <si>
    <t xml:space="preserve">WR-PK-0662</t>
  </si>
  <si>
    <t xml:space="preserve">Khursheed Textile</t>
  </si>
  <si>
    <t xml:space="preserve">WR-PK-0663</t>
  </si>
  <si>
    <t xml:space="preserve">Khurshid Textiles</t>
  </si>
  <si>
    <t xml:space="preserve">WR-PK-0664</t>
  </si>
  <si>
    <t xml:space="preserve">Khyber Weavers International</t>
  </si>
  <si>
    <t xml:space="preserve">WR-PK-0665</t>
  </si>
  <si>
    <t xml:space="preserve">KN Terry Tex</t>
  </si>
  <si>
    <t xml:space="preserve">D62/A SITE Superhighway</t>
  </si>
  <si>
    <t xml:space="preserve">WR-PK-0666</t>
  </si>
  <si>
    <t xml:space="preserve">Kohinoor Mills Limited</t>
  </si>
  <si>
    <t xml:space="preserve">WR-PK-0667</t>
  </si>
  <si>
    <t xml:space="preserve">Kohinoor Textile Mills Limited</t>
  </si>
  <si>
    <t xml:space="preserve">WR-PK-0668</t>
  </si>
  <si>
    <t xml:space="preserve">Laiq Rehman Textile Mills Pvt. Ltd.</t>
  </si>
  <si>
    <t xml:space="preserve">Suite No. 1409-1410, 14th Fl., Chapal Plaza, Hasrat Mohani Road</t>
  </si>
  <si>
    <t xml:space="preserve">WR-PK-0669</t>
  </si>
  <si>
    <t xml:space="preserve">Lakhany Silk Mills (Pvt) Limited</t>
  </si>
  <si>
    <t xml:space="preserve">8-C, Muhammad Ali Housing Society</t>
  </si>
  <si>
    <t xml:space="preserve">WR-PK-0670</t>
  </si>
  <si>
    <t xml:space="preserve">LAL Industries</t>
  </si>
  <si>
    <t xml:space="preserve">WR-PK-0671</t>
  </si>
  <si>
    <t xml:space="preserve">Latif Textile Mills (Pvt) Ltd.</t>
  </si>
  <si>
    <t xml:space="preserve">Mariyam House, 37-F-A, Block-6 P.E.C.H.S.</t>
  </si>
  <si>
    <t xml:space="preserve">WR-PK-0672</t>
  </si>
  <si>
    <t xml:space="preserve">Liberty Mills Limited</t>
  </si>
  <si>
    <t xml:space="preserve">WR-PK-0673</t>
  </si>
  <si>
    <t xml:space="preserve">Limra Textile</t>
  </si>
  <si>
    <t xml:space="preserve">WR-PK-0674</t>
  </si>
  <si>
    <t xml:space="preserve">Linen Home</t>
  </si>
  <si>
    <t xml:space="preserve">WR-PK-0675</t>
  </si>
  <si>
    <t xml:space="preserve">Lucky Impex</t>
  </si>
  <si>
    <t xml:space="preserve">26/27, M.C.H.S. Off. Tipu Sultan Road</t>
  </si>
  <si>
    <t xml:space="preserve">WR-PK-0676</t>
  </si>
  <si>
    <t xml:space="preserve">Lucky Textile Mills Limited</t>
  </si>
  <si>
    <t xml:space="preserve">WR-PK-0677</t>
  </si>
  <si>
    <t xml:space="preserve">M Hassan Din and Sons</t>
  </si>
  <si>
    <t xml:space="preserve">WR-PK-0678</t>
  </si>
  <si>
    <t xml:space="preserve">M Yahya M Yousuf Bari</t>
  </si>
  <si>
    <t xml:space="preserve">WR-PK-0679</t>
  </si>
  <si>
    <t xml:space="preserve">M. K International</t>
  </si>
  <si>
    <t xml:space="preserve">Plot No. WH-3, Sector 16-B North Karachi Industrial Area</t>
  </si>
  <si>
    <t xml:space="preserve">WR-PK-0680</t>
  </si>
  <si>
    <t xml:space="preserve">M. Y Bari Mills (Pvt) Ltd</t>
  </si>
  <si>
    <t xml:space="preserve">WR-PK-0681</t>
  </si>
  <si>
    <t xml:space="preserve">M.A. Textiles</t>
  </si>
  <si>
    <t xml:space="preserve">WR-PK-0682</t>
  </si>
  <si>
    <t xml:space="preserve">M.K. Sons (Pvt) Ltd.</t>
  </si>
  <si>
    <t xml:space="preserve">WR-PK-0683</t>
  </si>
  <si>
    <t xml:space="preserve">Mach Trade Corporation</t>
  </si>
  <si>
    <t xml:space="preserve">WR-PK-0684</t>
  </si>
  <si>
    <t xml:space="preserve">Magna Processing Industries (Pvt) Ltd.</t>
  </si>
  <si>
    <t xml:space="preserve">WR-PK-0685</t>
  </si>
  <si>
    <t xml:space="preserve">Maguari Textile</t>
  </si>
  <si>
    <t xml:space="preserve">Plot # Ci-45, Sector 6/B, North Karachi Industrial Area</t>
  </si>
  <si>
    <t xml:space="preserve">WR-PK-0686</t>
  </si>
  <si>
    <t xml:space="preserve">MAHEE INTERNATIONAL</t>
  </si>
  <si>
    <t xml:space="preserve">F/413-B Area</t>
  </si>
  <si>
    <t xml:space="preserve">WR-PK-0687</t>
  </si>
  <si>
    <t xml:space="preserve">Maheen Textile Mills (Pvt.) Ltd.</t>
  </si>
  <si>
    <t xml:space="preserve">WR-PK-0688</t>
  </si>
  <si>
    <t xml:space="preserve">Mahmood Textile Mills Ltd.</t>
  </si>
  <si>
    <t xml:space="preserve">Mahmood Group</t>
  </si>
  <si>
    <t xml:space="preserve">WR-PK-0689</t>
  </si>
  <si>
    <t xml:space="preserve">Mansoor Textiles</t>
  </si>
  <si>
    <t xml:space="preserve">WR-PK-0690</t>
  </si>
  <si>
    <t xml:space="preserve">Maqsood Ahmad Weaving Factory</t>
  </si>
  <si>
    <t xml:space="preserve">WR-PK-0691</t>
  </si>
  <si>
    <t xml:space="preserve">Marhaba Textile</t>
  </si>
  <si>
    <t xml:space="preserve">Plot # F-306 S.i.t.e.</t>
  </si>
  <si>
    <t xml:space="preserve">WR-PK-0692</t>
  </si>
  <si>
    <t xml:space="preserve">Masood Fabrics Limited</t>
  </si>
  <si>
    <t xml:space="preserve">WR-PK-0693</t>
  </si>
  <si>
    <t xml:space="preserve">Master Textile Mills Ltd.</t>
  </si>
  <si>
    <t xml:space="preserve">WR-PK-0694</t>
  </si>
  <si>
    <t xml:space="preserve">Mega Cotton Textiles</t>
  </si>
  <si>
    <t xml:space="preserve">WR-PK-0695</t>
  </si>
  <si>
    <t xml:space="preserve">Meher Spring Pvt Ltd</t>
  </si>
  <si>
    <t xml:space="preserve">WR-PK-0696</t>
  </si>
  <si>
    <t xml:space="preserve">Mehtabi Towel Mills (Pvt) Limited</t>
  </si>
  <si>
    <t xml:space="preserve">WR-PK-0697</t>
  </si>
  <si>
    <t xml:space="preserve">Mekotex (Private) Limited</t>
  </si>
  <si>
    <t xml:space="preserve">Mekotex</t>
  </si>
  <si>
    <t xml:space="preserve">Landhi</t>
  </si>
  <si>
    <t xml:space="preserve">WR-PK-0698</t>
  </si>
  <si>
    <t xml:space="preserve">Meskay &amp; Femtee (Private) Limited</t>
  </si>
  <si>
    <t xml:space="preserve">WR-PK-0699</t>
  </si>
  <si>
    <t xml:space="preserve">Meskay &amp; Femtee Trading Company</t>
  </si>
  <si>
    <t xml:space="preserve">WR-PK-0700</t>
  </si>
  <si>
    <t xml:space="preserve">Miangul Industries</t>
  </si>
  <si>
    <t xml:space="preserve">WR-PK-0701</t>
  </si>
  <si>
    <t xml:space="preserve">Mianoor Textile Industries (Private) Limited</t>
  </si>
  <si>
    <t xml:space="preserve">D 97 S I T E</t>
  </si>
  <si>
    <t xml:space="preserve">WR-PK-0702</t>
  </si>
  <si>
    <t xml:space="preserve">Millenium Textiles</t>
  </si>
  <si>
    <t xml:space="preserve">WR-PK-0703</t>
  </si>
  <si>
    <t xml:space="preserve">Mirtex International Company</t>
  </si>
  <si>
    <t xml:space="preserve">D20, Phase-I, SITE, Superhighway</t>
  </si>
  <si>
    <t xml:space="preserve">WR-PK-0704</t>
  </si>
  <si>
    <t xml:space="preserve">MNH Textiles</t>
  </si>
  <si>
    <t xml:space="preserve">L-25 A Block 22 Federal B. Area</t>
  </si>
  <si>
    <t xml:space="preserve">WR-PK-0705</t>
  </si>
  <si>
    <t xml:space="preserve">Moin Sons</t>
  </si>
  <si>
    <t xml:space="preserve">WR-PK-0706</t>
  </si>
  <si>
    <t xml:space="preserve">Mount Fuji Textiles Limited</t>
  </si>
  <si>
    <t xml:space="preserve">D-148, S.I.T.E</t>
  </si>
  <si>
    <t xml:space="preserve">WR-PK-0707</t>
  </si>
  <si>
    <t xml:space="preserve">MRC Textiles (Pvt.) Ltd.</t>
  </si>
  <si>
    <t xml:space="preserve">WR-PK-0708</t>
  </si>
  <si>
    <t xml:space="preserve">Mubashar Corporation (Pvt) Ltd.</t>
  </si>
  <si>
    <t xml:space="preserve">WR-PK-0709</t>
  </si>
  <si>
    <t xml:space="preserve">Mubeen Maqbool Industries</t>
  </si>
  <si>
    <t xml:space="preserve">WR-PK-0710</t>
  </si>
  <si>
    <t xml:space="preserve">Muhammad Yousuf Iqbal Ahmed</t>
  </si>
  <si>
    <t xml:space="preserve">WR-PK-0711</t>
  </si>
  <si>
    <t xml:space="preserve">Multan Industries</t>
  </si>
  <si>
    <t xml:space="preserve">WR-PK-0712</t>
  </si>
  <si>
    <t xml:space="preserve">Multi Fabric Pakistan</t>
  </si>
  <si>
    <t xml:space="preserve">WR-PK-0713</t>
  </si>
  <si>
    <t xml:space="preserve">Multimat Int.</t>
  </si>
  <si>
    <t xml:space="preserve">Plot 1-D-8, St-9/1 Sector 16-B North Karachi Industrial Area</t>
  </si>
  <si>
    <t xml:space="preserve">WR-PK-0714</t>
  </si>
  <si>
    <t xml:space="preserve">Mundia Exports</t>
  </si>
  <si>
    <t xml:space="preserve">14-A, Manghopir Road, S.I.T.E.</t>
  </si>
  <si>
    <t xml:space="preserve">WR-PK-0715</t>
  </si>
  <si>
    <t xml:space="preserve">Mustaqim Dyeing Printing Industries</t>
  </si>
  <si>
    <t xml:space="preserve">WR-PK-0716</t>
  </si>
  <si>
    <t xml:space="preserve">N.Sons Textile Industry</t>
  </si>
  <si>
    <t xml:space="preserve">WR-PK-0717</t>
  </si>
  <si>
    <t xml:space="preserve">Nagaria Textile Mills (Pvt) Ltd.</t>
  </si>
  <si>
    <t xml:space="preserve">Plot # HT/2, Landhi Industrial Area</t>
  </si>
  <si>
    <t xml:space="preserve">WR-PK-0718</t>
  </si>
  <si>
    <t xml:space="preserve">Nakshbandi Textile Mills (Private) Limited</t>
  </si>
  <si>
    <t xml:space="preserve">WR-PK-0719</t>
  </si>
  <si>
    <t xml:space="preserve">Naseem Fabrics</t>
  </si>
  <si>
    <t xml:space="preserve">WR-PK-0720</t>
  </si>
  <si>
    <t xml:space="preserve">Nasim Textile Industries</t>
  </si>
  <si>
    <t xml:space="preserve">WR-PK-0721</t>
  </si>
  <si>
    <t xml:space="preserve">Nasimco</t>
  </si>
  <si>
    <t xml:space="preserve">WR-PK-0722</t>
  </si>
  <si>
    <t xml:space="preserve">Naveed Brothers Textile Mills</t>
  </si>
  <si>
    <t xml:space="preserve">WR-PK-0723</t>
  </si>
  <si>
    <t xml:space="preserve">Naveena Industries Ltd.</t>
  </si>
  <si>
    <t xml:space="preserve">Korangi</t>
  </si>
  <si>
    <t xml:space="preserve">WR-PK-0724</t>
  </si>
  <si>
    <t xml:space="preserve">Nawaz Fabrics</t>
  </si>
  <si>
    <t xml:space="preserve">WR-PK-0725</t>
  </si>
  <si>
    <t xml:space="preserve">Naz Textiles (Pvt) Limited</t>
  </si>
  <si>
    <t xml:space="preserve">WR-PK-0726</t>
  </si>
  <si>
    <t xml:space="preserve">Nazeer Dyeing &amp; Bleaching</t>
  </si>
  <si>
    <t xml:space="preserve">Plot # ST-13/6/1, Block 2, F.B. Industrial Area, Azizabad, Karachi, 75950, Pakistan.</t>
  </si>
  <si>
    <t xml:space="preserve">WR-PK-0727</t>
  </si>
  <si>
    <t xml:space="preserve">Nazu International</t>
  </si>
  <si>
    <t xml:space="preserve">6-a-6b, Zohra Salamat Mansion, Chagla Street, Karachi, Sindh,</t>
  </si>
  <si>
    <t xml:space="preserve">WR-PK-0728</t>
  </si>
  <si>
    <t xml:space="preserve">Neelum Fabrics</t>
  </si>
  <si>
    <t xml:space="preserve">WR-PK-0729</t>
  </si>
  <si>
    <t xml:space="preserve">New Zeenat Textile Mills</t>
  </si>
  <si>
    <t xml:space="preserve">A-16, SITE Area, Karachi, Sindh, Pakistan.</t>
  </si>
  <si>
    <t xml:space="preserve">WR-PK-0730</t>
  </si>
  <si>
    <t xml:space="preserve">Niagara Mills (Pvt) Ltd.</t>
  </si>
  <si>
    <t xml:space="preserve">WR-PK-0731</t>
  </si>
  <si>
    <t xml:space="preserve">Nishat Chunian Limited</t>
  </si>
  <si>
    <t xml:space="preserve">WR-PK-0732</t>
  </si>
  <si>
    <t xml:space="preserve">Nishat Mills Limited</t>
  </si>
  <si>
    <t xml:space="preserve">WR-PK-0733</t>
  </si>
  <si>
    <t xml:space="preserve">Noorpur Industries</t>
  </si>
  <si>
    <t xml:space="preserve">Plot No. 78, Sector 24, Korangi Industrial Area, Karachi, Pakistan - 74900.</t>
  </si>
  <si>
    <t xml:space="preserve">WR-PK-0734</t>
  </si>
  <si>
    <t xml:space="preserve">Nouvelltex</t>
  </si>
  <si>
    <t xml:space="preserve">WR-PK-0735</t>
  </si>
  <si>
    <t xml:space="preserve">Novatex Limited</t>
  </si>
  <si>
    <t xml:space="preserve">WR-PK-0736</t>
  </si>
  <si>
    <t xml:space="preserve">Orient Textile Mills (Pvt.) Ltd.</t>
  </si>
  <si>
    <t xml:space="preserve">501, Main National Highway, Landhi, Karachi-75120, Pakistan</t>
  </si>
  <si>
    <t xml:space="preserve">WR-PK-0737</t>
  </si>
  <si>
    <t xml:space="preserve">P.K. Home Textiles</t>
  </si>
  <si>
    <t xml:space="preserve">WR-PK-0738</t>
  </si>
  <si>
    <t xml:space="preserve">Pak Deutsch Int'l Co.</t>
  </si>
  <si>
    <t xml:space="preserve">WR-PK-0739</t>
  </si>
  <si>
    <t xml:space="preserve">Pak Home Textile</t>
  </si>
  <si>
    <t xml:space="preserve">Plot # 477 Ahsanabad Site II Phase 1 Scheme # 3, Karachi, Pakistan.</t>
  </si>
  <si>
    <t xml:space="preserve">WR-PK-0740</t>
  </si>
  <si>
    <t xml:space="preserve">Pak Textile Industries</t>
  </si>
  <si>
    <t xml:space="preserve">WR-PK-0741</t>
  </si>
  <si>
    <t xml:space="preserve">Pakeezah Dyeing &amp; Bleaching</t>
  </si>
  <si>
    <t xml:space="preserve">DP-50/B, Sector 12-D, North Karachi Industrial Area, Karachi, Pakistan</t>
  </si>
  <si>
    <t xml:space="preserve">WR-PK-0742</t>
  </si>
  <si>
    <t xml:space="preserve">Patel Towel Industries</t>
  </si>
  <si>
    <t xml:space="preserve">F-61-B, S.I.T.E, 76700, KARACHI, Sindh 76700</t>
  </si>
  <si>
    <t xml:space="preserve">WR-PK-0743</t>
  </si>
  <si>
    <t xml:space="preserve">Paul Textile &amp; Towel Industries</t>
  </si>
  <si>
    <t xml:space="preserve">17-Badri Building, I.I. Chundrigar Road, Karachi, Pakistan</t>
  </si>
  <si>
    <t xml:space="preserve">WR-PK-0744</t>
  </si>
  <si>
    <t xml:space="preserve">Pearl Fabrics Company</t>
  </si>
  <si>
    <t xml:space="preserve">Plot No. 40-A, Sector 27, Korangi Industrial Area, Karachi, Sindh,</t>
  </si>
  <si>
    <t xml:space="preserve">WR-PK-0745</t>
  </si>
  <si>
    <t xml:space="preserve">Picart Textiles</t>
  </si>
  <si>
    <t xml:space="preserve">F-363-A-1, S.I.T.E,</t>
  </si>
  <si>
    <t xml:space="preserve">WR-PK-0746</t>
  </si>
  <si>
    <t xml:space="preserve">Planet Textile Industries</t>
  </si>
  <si>
    <t xml:space="preserve">Plot # 14, Estate Avenue near Seimens Chowrangi, S.I.T.E. industrial Area, Karachi-75850, Pakistan.</t>
  </si>
  <si>
    <t xml:space="preserve">WR-PK-0747</t>
  </si>
  <si>
    <t xml:space="preserve">Polani Textiles</t>
  </si>
  <si>
    <t xml:space="preserve">Plot # B, 24/A, Metroville Sindh Industrial Trading Estate, Karachi,</t>
  </si>
  <si>
    <t xml:space="preserve">WR-PK-0748</t>
  </si>
  <si>
    <t xml:space="preserve">Poshcraft International</t>
  </si>
  <si>
    <t xml:space="preserve">WR-PK-0749</t>
  </si>
  <si>
    <t xml:space="preserve">Premier Towels</t>
  </si>
  <si>
    <t xml:space="preserve">WR-PK-0750</t>
  </si>
  <si>
    <t xml:space="preserve">Qasim Weaving</t>
  </si>
  <si>
    <t xml:space="preserve">A-25/D, S.I.T.E., Karachi, Pakistan</t>
  </si>
  <si>
    <t xml:space="preserve">WR-PK-0751</t>
  </si>
  <si>
    <t xml:space="preserve">R.I. Weaving</t>
  </si>
  <si>
    <t xml:space="preserve">WR-PK-0752</t>
  </si>
  <si>
    <t xml:space="preserve">R.Q.M Textile</t>
  </si>
  <si>
    <t xml:space="preserve">WR-PK-0753</t>
  </si>
  <si>
    <t xml:space="preserve">Rafaqat Textile</t>
  </si>
  <si>
    <t xml:space="preserve">WR-PK-0754</t>
  </si>
  <si>
    <t xml:space="preserve">Rafiq Jamil Textile Industries Private Limited</t>
  </si>
  <si>
    <t xml:space="preserve">WR-PK-0755</t>
  </si>
  <si>
    <t xml:space="preserve">Rainbow Hosiery Pvt. Ltd.</t>
  </si>
  <si>
    <t xml:space="preserve">Rainbow Hosiery Pvt. Ltd. is Shafiq Mill Colony Block 22 Gulberg Town, Karachi, Karachi City,</t>
  </si>
  <si>
    <t xml:space="preserve">WR-PK-0756</t>
  </si>
  <si>
    <t xml:space="preserve">Rainbow Industries</t>
  </si>
  <si>
    <t xml:space="preserve">Rainbow Industries is CI-331, 16-B, North Karachi Industrial Area, Karachi, Pakistan.</t>
  </si>
  <si>
    <t xml:space="preserve">WR-PK-0757</t>
  </si>
  <si>
    <t xml:space="preserve">WR-PK-0758</t>
  </si>
  <si>
    <t xml:space="preserve">Ranyal Textiles</t>
  </si>
  <si>
    <t xml:space="preserve">Ranyal Textiles is 7/12 Aisha Noor Mohd Building, Karachi,</t>
  </si>
  <si>
    <t xml:space="preserve">WR-PK-0759</t>
  </si>
  <si>
    <t xml:space="preserve">Regal Textile Industries (Pvt) Limited</t>
  </si>
  <si>
    <t xml:space="preserve">L-32/B, Block-22, F.B. Industrial Area, Karachi, Sindh</t>
  </si>
  <si>
    <t xml:space="preserve">WR-PK-0760</t>
  </si>
  <si>
    <t xml:space="preserve">Rida Textile Industries</t>
  </si>
  <si>
    <t xml:space="preserve">WR-PK-0761</t>
  </si>
  <si>
    <t xml:space="preserve">Rizwan Enterprises</t>
  </si>
  <si>
    <t xml:space="preserve">F-50, S.I.T.E. Area, near S.S.G.C., Karachi, Pakistan.</t>
  </si>
  <si>
    <t xml:space="preserve">WR-PK-0762</t>
  </si>
  <si>
    <t xml:space="preserve">Rizwan International (Pvt) Ltd</t>
  </si>
  <si>
    <t xml:space="preserve">WR-PK-0763</t>
  </si>
  <si>
    <t xml:space="preserve">ROOMI FABRICS LIMITED</t>
  </si>
  <si>
    <t xml:space="preserve">Masood Roomi House, 5 Officers Colony, Kashan-e-Mehr-e-Roomi, Multan, Pakistan.</t>
  </si>
  <si>
    <t xml:space="preserve">WR-PK-0764</t>
  </si>
  <si>
    <t xml:space="preserve">ROOMI TEX</t>
  </si>
  <si>
    <t xml:space="preserve">F-515/b, S.I.T.E., Karachi, Pakistan</t>
  </si>
  <si>
    <t xml:space="preserve">WR-PK-0765</t>
  </si>
  <si>
    <t xml:space="preserve">Rowaski Mills</t>
  </si>
  <si>
    <t xml:space="preserve">WR-PK-0766</t>
  </si>
  <si>
    <t xml:space="preserve">Royal Home Brands</t>
  </si>
  <si>
    <t xml:space="preserve">WR-PK-0767</t>
  </si>
  <si>
    <t xml:space="preserve">Royal Textile</t>
  </si>
  <si>
    <t xml:space="preserve">WR-PK-0768</t>
  </si>
  <si>
    <t xml:space="preserve">Rustam Towel (Pvt) Ltd.</t>
  </si>
  <si>
    <t xml:space="preserve">WR-PK-0769</t>
  </si>
  <si>
    <t xml:space="preserve">S &amp; S International</t>
  </si>
  <si>
    <t xml:space="preserve">WR-PK-0770</t>
  </si>
  <si>
    <t xml:space="preserve">S.A.F Towels Pvt Ltd.</t>
  </si>
  <si>
    <t xml:space="preserve">Plot No. 42C, Lane No. 12, Mezzanine Floor, Nishat Commercial, DHA Phase 6, Karachi</t>
  </si>
  <si>
    <t xml:space="preserve">WR-PK-0771</t>
  </si>
  <si>
    <t xml:space="preserve">S.S Textile Industries</t>
  </si>
  <si>
    <t xml:space="preserve">Plot # 167, Sector 27, Korangi Industrial Area, Karachi, Pakistan.</t>
  </si>
  <si>
    <t xml:space="preserve">WR-PK-0772</t>
  </si>
  <si>
    <t xml:space="preserve">Saad Textile Mills (Pvt) Ltd.</t>
  </si>
  <si>
    <t xml:space="preserve">WR-PK-0773</t>
  </si>
  <si>
    <t xml:space="preserve">Saba Textile Industries</t>
  </si>
  <si>
    <t xml:space="preserve">WR-PK-0774</t>
  </si>
  <si>
    <t xml:space="preserve">Sabir Textile Weaving Factory</t>
  </si>
  <si>
    <t xml:space="preserve">WR-PK-0775</t>
  </si>
  <si>
    <t xml:space="preserve">Sadaf Brother Industries</t>
  </si>
  <si>
    <t xml:space="preserve">WR-PK-0776</t>
  </si>
  <si>
    <t xml:space="preserve">Sadaqat Limited</t>
  </si>
  <si>
    <t xml:space="preserve">Sadaqat</t>
  </si>
  <si>
    <t xml:space="preserve">WR-PK-0777</t>
  </si>
  <si>
    <t xml:space="preserve">Sadiq &amp; Siddique Co.</t>
  </si>
  <si>
    <t xml:space="preserve">WR-PK-0778</t>
  </si>
  <si>
    <t xml:space="preserve">Sadiq Towels Pvt. Ltd.</t>
  </si>
  <si>
    <t xml:space="preserve">WR-PK-0779</t>
  </si>
  <si>
    <t xml:space="preserve">SAH Enterprises Inc.</t>
  </si>
  <si>
    <t xml:space="preserve">Plot No.14 , Sector # 27, Korangi Industrial Area, Karachi-74900, Pakistan.</t>
  </si>
  <si>
    <t xml:space="preserve">WR-PK-0780</t>
  </si>
  <si>
    <t xml:space="preserve">Sahazaib Textile</t>
  </si>
  <si>
    <t xml:space="preserve">WR-PK-0781</t>
  </si>
  <si>
    <t xml:space="preserve">Sajid Textile Industries (Pvt) Ltd</t>
  </si>
  <si>
    <t xml:space="preserve">WR-PK-0782</t>
  </si>
  <si>
    <t xml:space="preserve">Salam Textile</t>
  </si>
  <si>
    <t xml:space="preserve">Plot # B-151, Sector 27, Korangi Industrial Area, Karachi - Pakistan.</t>
  </si>
  <si>
    <t xml:space="preserve">WR-PK-0783</t>
  </si>
  <si>
    <t xml:space="preserve">Saleem Textile</t>
  </si>
  <si>
    <t xml:space="preserve">WR-PK-0784</t>
  </si>
  <si>
    <t xml:space="preserve">Salman Traders</t>
  </si>
  <si>
    <t xml:space="preserve">WR-PK-0785</t>
  </si>
  <si>
    <t xml:space="preserve">Saltex</t>
  </si>
  <si>
    <t xml:space="preserve">WR-PK-0786</t>
  </si>
  <si>
    <t xml:space="preserve">Saltex Exports</t>
  </si>
  <si>
    <t xml:space="preserve">PLOT NO. 1,2,3,6,7&amp;8, SECTOR E-VI, PHASE-II KARACHI EXPORT PROCESSING ZONE KARACHI, PAKISTAN</t>
  </si>
  <si>
    <t xml:space="preserve">WR-PK-0787</t>
  </si>
  <si>
    <t xml:space="preserve">Sama Textile Private Limited</t>
  </si>
  <si>
    <t xml:space="preserve">WR-PK-0788</t>
  </si>
  <si>
    <t xml:space="preserve">Samira Fabrics (Pvt) Ltd.</t>
  </si>
  <si>
    <t xml:space="preserve">WR-PK-0789</t>
  </si>
  <si>
    <t xml:space="preserve">Santex Industries</t>
  </si>
  <si>
    <t xml:space="preserve">WR-PK-0790</t>
  </si>
  <si>
    <t xml:space="preserve">Sapphire Textile Mills Ltd</t>
  </si>
  <si>
    <t xml:space="preserve">WR-PK-0791</t>
  </si>
  <si>
    <t xml:space="preserve">Saya Weaving Mills (Pvt) Limited</t>
  </si>
  <si>
    <t xml:space="preserve">WR-PK-0792</t>
  </si>
  <si>
    <t xml:space="preserve">SBR ENTERPRISES</t>
  </si>
  <si>
    <t xml:space="preserve">SBR house 6-k, Block 6 PECH Society Karachi</t>
  </si>
  <si>
    <t xml:space="preserve">WR-PK-0793</t>
  </si>
  <si>
    <t xml:space="preserve">Second Skin Garment Industries</t>
  </si>
  <si>
    <t xml:space="preserve">WR-PK-0794</t>
  </si>
  <si>
    <t xml:space="preserve">SHADDAN ENTERPRISES</t>
  </si>
  <si>
    <t xml:space="preserve">D-14, S.I.T.E. Karachi-Pakistan</t>
  </si>
  <si>
    <t xml:space="preserve">WR-PK-0795</t>
  </si>
  <si>
    <t xml:space="preserve">Shahab Textiles</t>
  </si>
  <si>
    <t xml:space="preserve">Plot 19/3, Sector 6A, N. Karachi ind. Area</t>
  </si>
  <si>
    <t xml:space="preserve">WR-PK-0796</t>
  </si>
  <si>
    <t xml:space="preserve">Shaheen Industries</t>
  </si>
  <si>
    <t xml:space="preserve">WR-PK-0797</t>
  </si>
  <si>
    <t xml:space="preserve">Shaheen Textile</t>
  </si>
  <si>
    <t xml:space="preserve">WR-PK-0798</t>
  </si>
  <si>
    <t xml:space="preserve">Shahi Textiles</t>
  </si>
  <si>
    <t xml:space="preserve">WR-PK-0799</t>
  </si>
  <si>
    <t xml:space="preserve">Shahzad Enterprises</t>
  </si>
  <si>
    <t xml:space="preserve">House No 7 3rd Floor Muhammad Faqeer Baloch Manzil Baba Meera Road Nayabad Karachi, Sindh, 74200 Pakistan</t>
  </si>
  <si>
    <t xml:space="preserve">WR-PK-0800</t>
  </si>
  <si>
    <t xml:space="preserve">Shaikh Brothers</t>
  </si>
  <si>
    <t xml:space="preserve">WR-PK-0801</t>
  </si>
  <si>
    <t xml:space="preserve">Sheikh Carpet Industries</t>
  </si>
  <si>
    <t xml:space="preserve">WR-PK-0802</t>
  </si>
  <si>
    <t xml:space="preserve">Shiwani Textile</t>
  </si>
  <si>
    <t xml:space="preserve">B-30/A, Phase-1, Scheme 33, SITE II, Super Highway, Karachi - Pakistan</t>
  </si>
  <si>
    <t xml:space="preserve">WR-PK-0803</t>
  </si>
  <si>
    <t xml:space="preserve">SI FABRICS</t>
  </si>
  <si>
    <t xml:space="preserve">WR-PK-0804</t>
  </si>
  <si>
    <t xml:space="preserve">Siddiqsons Limited</t>
  </si>
  <si>
    <t xml:space="preserve">WR-PK-0805</t>
  </si>
  <si>
    <t xml:space="preserve">Silver Textile Factory</t>
  </si>
  <si>
    <t xml:space="preserve">D-28, Sector 12-A, North Karachi Industrial Area</t>
  </si>
  <si>
    <t xml:space="preserve">WR-PK-0806</t>
  </si>
  <si>
    <t xml:space="preserve">Silverfox Textiles Pvt. Ltd.</t>
  </si>
  <si>
    <t xml:space="preserve">WR-PK-0807</t>
  </si>
  <si>
    <t xml:space="preserve">Simpex Textile</t>
  </si>
  <si>
    <t xml:space="preserve">Factory Location : Plot # A160 Site Super Highway Scheme 33, Phase 1, Karachi, Karachi City, Sindh 75330</t>
  </si>
  <si>
    <t xml:space="preserve">WR-PK-0808</t>
  </si>
  <si>
    <t xml:space="preserve">Sitara Textile Industries Limited</t>
  </si>
  <si>
    <t xml:space="preserve">WR-PK-0809</t>
  </si>
  <si>
    <t xml:space="preserve">Sky Fabrics</t>
  </si>
  <si>
    <t xml:space="preserve">WR-PK-0810</t>
  </si>
  <si>
    <t xml:space="preserve">Sohail Weaving Industries</t>
  </si>
  <si>
    <t xml:space="preserve">Plot No. C4 SITE Super Highway Scheme 33 Phase I Karachi</t>
  </si>
  <si>
    <t xml:space="preserve">WR-PK-0811</t>
  </si>
  <si>
    <t xml:space="preserve">Soorty Enterprises (Private) Limited</t>
  </si>
  <si>
    <t xml:space="preserve">WR-PK-0812</t>
  </si>
  <si>
    <t xml:space="preserve">Star Fabrics</t>
  </si>
  <si>
    <t xml:space="preserve">WR-PK-0813</t>
  </si>
  <si>
    <t xml:space="preserve">Subhan Textiles</t>
  </si>
  <si>
    <t xml:space="preserve">WR-PK-0814</t>
  </si>
  <si>
    <t xml:space="preserve">Sublime International</t>
  </si>
  <si>
    <t xml:space="preserve">WR-PK-0815</t>
  </si>
  <si>
    <t xml:space="preserve">Sufi Weaving Industries (private) Limited</t>
  </si>
  <si>
    <t xml:space="preserve">WR-PK-0816</t>
  </si>
  <si>
    <t xml:space="preserve">Sultex Industries</t>
  </si>
  <si>
    <t xml:space="preserve">WR-PK-0817</t>
  </si>
  <si>
    <t xml:space="preserve">Sunnair Textiles</t>
  </si>
  <si>
    <t xml:space="preserve">WR-PK-0818</t>
  </si>
  <si>
    <t xml:space="preserve">Surryia Sharif Textile Mills Private Limited</t>
  </si>
  <si>
    <t xml:space="preserve">WR-PK-0819</t>
  </si>
  <si>
    <t xml:space="preserve">Swan Textiles</t>
  </si>
  <si>
    <t xml:space="preserve">WR-PK-0820</t>
  </si>
  <si>
    <t xml:space="preserve">Sylvana Pakistan</t>
  </si>
  <si>
    <t xml:space="preserve">Plot # 1A, Sector 16 Korangi Industrial Area, Karachi, Sindh, Pakistan</t>
  </si>
  <si>
    <t xml:space="preserve">WR-PK-0821</t>
  </si>
  <si>
    <t xml:space="preserve">Syntech Fibres Private Limited</t>
  </si>
  <si>
    <t xml:space="preserve">5-3-1 Sector 15, Korangi Industrial Area,</t>
  </si>
  <si>
    <t xml:space="preserve">WR-PK-0822</t>
  </si>
  <si>
    <t xml:space="preserve">TAK OZER CARPETS</t>
  </si>
  <si>
    <t xml:space="preserve">WR-PK-0823</t>
  </si>
  <si>
    <t xml:space="preserve">Tee Zee Textile</t>
  </si>
  <si>
    <t xml:space="preserve">R-393, Sector 14 A, Shadman Town, North Karachi, Pakistan.</t>
  </si>
  <si>
    <t xml:space="preserve">WR-PK-0824</t>
  </si>
  <si>
    <t xml:space="preserve">Teepo Industries</t>
  </si>
  <si>
    <t xml:space="preserve">WR-PK-0825</t>
  </si>
  <si>
    <t xml:space="preserve">Terry Tex International</t>
  </si>
  <si>
    <t xml:space="preserve">ID-5, Sector 30, Korangi Industrial Area, Karachi, Sindh</t>
  </si>
  <si>
    <t xml:space="preserve">WR-PK-0826</t>
  </si>
  <si>
    <t xml:space="preserve">Terry World Textile</t>
  </si>
  <si>
    <t xml:space="preserve">WR-PK-0827</t>
  </si>
  <si>
    <t xml:space="preserve">Tex Art Enterprises</t>
  </si>
  <si>
    <t xml:space="preserve">D-48/E, 2nd Floor, Sindh Industrial Trading Estate, Karachi-75700,</t>
  </si>
  <si>
    <t xml:space="preserve">WR-PK-0828</t>
  </si>
  <si>
    <t xml:space="preserve">Tex World</t>
  </si>
  <si>
    <t xml:space="preserve">WR-PK-0829</t>
  </si>
  <si>
    <t xml:space="preserve">Tex World - Bath Fashion</t>
  </si>
  <si>
    <t xml:space="preserve">Plot No: 146-A &amp; B, Sector 23 Korangi Industrial Area, Karachi - 74900, Pakistan.</t>
  </si>
  <si>
    <t xml:space="preserve">WR-PK-0830</t>
  </si>
  <si>
    <t xml:space="preserve">Texnit Sourcing Excellence</t>
  </si>
  <si>
    <t xml:space="preserve">WR-PK-0831</t>
  </si>
  <si>
    <t xml:space="preserve">TEXTILE CHANNEL</t>
  </si>
  <si>
    <t xml:space="preserve">D-23 / B S. I. T. E., Karachi, Sindh, 74500.</t>
  </si>
  <si>
    <t xml:space="preserve">WR-PK-0832</t>
  </si>
  <si>
    <t xml:space="preserve">Textile Farm</t>
  </si>
  <si>
    <t xml:space="preserve">WR-PK-0833</t>
  </si>
  <si>
    <t xml:space="preserve">THAL Packaging - HOH</t>
  </si>
  <si>
    <t xml:space="preserve">5th Floor, HOH Building, 3 JCHS, Main Sharah-e-Faisal, Karachi</t>
  </si>
  <si>
    <t xml:space="preserve">WR-PK-0834</t>
  </si>
  <si>
    <t xml:space="preserve">The Crescent Textile Mills Limited</t>
  </si>
  <si>
    <t xml:space="preserve">WR-PK-0835</t>
  </si>
  <si>
    <t xml:space="preserve">Three Star Textile</t>
  </si>
  <si>
    <t xml:space="preserve">WR-PK-0836</t>
  </si>
  <si>
    <t xml:space="preserve">Three Stars Hosiery Mills (Pvt) Ltd.</t>
  </si>
  <si>
    <t xml:space="preserve">WR-PK-0837</t>
  </si>
  <si>
    <t xml:space="preserve">Towellers Limited</t>
  </si>
  <si>
    <t xml:space="preserve">Towellers House, WSA 30/31, Federal B Area, Block 1, Karachi 75950,</t>
  </si>
  <si>
    <t xml:space="preserve">WR-PK-0838</t>
  </si>
  <si>
    <t xml:space="preserve">Tulip Towel Industries (Pvt) Ltd</t>
  </si>
  <si>
    <t xml:space="preserve">A/39/a, Hill Street, S.i.t.e, Karachi, Sindh, Pakistan</t>
  </si>
  <si>
    <t xml:space="preserve">WR-PK-0839</t>
  </si>
  <si>
    <t xml:space="preserve">Umar Draz Textile Factory</t>
  </si>
  <si>
    <t xml:space="preserve">WR-PK-0840</t>
  </si>
  <si>
    <t xml:space="preserve">Umar Textiles</t>
  </si>
  <si>
    <t xml:space="preserve">WR-PK-0841</t>
  </si>
  <si>
    <t xml:space="preserve">UMMI TEXTILE (PVT) LTD.</t>
  </si>
  <si>
    <t xml:space="preserve">WR-PK-0842</t>
  </si>
  <si>
    <t xml:space="preserve">Unibro Industries Limited</t>
  </si>
  <si>
    <t xml:space="preserve">UNIBRO HOUSE, 114, 9th East Street Phase-1, D.H.A., Karachi</t>
  </si>
  <si>
    <t xml:space="preserve">WR-PK-0843</t>
  </si>
  <si>
    <t xml:space="preserve">Union Fabrics (Private) Limited</t>
  </si>
  <si>
    <t xml:space="preserve">E-20/B, Central Avenue, S.I.T.E. Karachi - 75700 (Pakistan)</t>
  </si>
  <si>
    <t xml:space="preserve">WR-PK-0844</t>
  </si>
  <si>
    <t xml:space="preserve">Union Textile Industries</t>
  </si>
  <si>
    <t xml:space="preserve">L26-A, F. B Industrial Area, near Shafiq Mor, Block 22 Gulberg Town, Karachi, Karachi City, Sindh 74400,</t>
  </si>
  <si>
    <t xml:space="preserve">WR-PK-0845</t>
  </si>
  <si>
    <t xml:space="preserve">Union Thread Industries</t>
  </si>
  <si>
    <t xml:space="preserve">WR-PK-0846</t>
  </si>
  <si>
    <t xml:space="preserve">United Textile Printing Industries (Pvt) Ltd.</t>
  </si>
  <si>
    <t xml:space="preserve">WR-PK-0847</t>
  </si>
  <si>
    <t xml:space="preserve">United Towel Exporters Private Limited</t>
  </si>
  <si>
    <t xml:space="preserve">WR-PK-0848</t>
  </si>
  <si>
    <t xml:space="preserve">Usman &amp; Sons</t>
  </si>
  <si>
    <t xml:space="preserve">A-95, Phase 1, SITE Super Highway, Scheme 33, Karachi, Pakistan</t>
  </si>
  <si>
    <t xml:space="preserve">WR-PK-0849</t>
  </si>
  <si>
    <t xml:space="preserve">Utopia Industries (Private) Limited</t>
  </si>
  <si>
    <t xml:space="preserve">WR-PK-0850</t>
  </si>
  <si>
    <t xml:space="preserve">Utopia Sourcing</t>
  </si>
  <si>
    <t xml:space="preserve">WR-PK-0851</t>
  </si>
  <si>
    <t xml:space="preserve">Vantage Corporation</t>
  </si>
  <si>
    <t xml:space="preserve">WR-PK-0852</t>
  </si>
  <si>
    <t xml:space="preserve">VKY Exports</t>
  </si>
  <si>
    <t xml:space="preserve">WR-PK-0853</t>
  </si>
  <si>
    <t xml:space="preserve">Wamzak Corporation</t>
  </si>
  <si>
    <t xml:space="preserve">WR-PK-0854</t>
  </si>
  <si>
    <t xml:space="preserve">Waqas Textile</t>
  </si>
  <si>
    <t xml:space="preserve">WR-PK-0855</t>
  </si>
  <si>
    <t xml:space="preserve">Weavers International</t>
  </si>
  <si>
    <t xml:space="preserve">Plot No 11 St-2/1 Sector No 25 Industrial Area, Korangi, Sindh</t>
  </si>
  <si>
    <t xml:space="preserve">WR-PK-0856</t>
  </si>
  <si>
    <t xml:space="preserve">Wins Textile</t>
  </si>
  <si>
    <t xml:space="preserve">WR-PK-0857</t>
  </si>
  <si>
    <t xml:space="preserve">Wintex Exports (Pvt.) Ltd.</t>
  </si>
  <si>
    <t xml:space="preserve">WR-PK-0858</t>
  </si>
  <si>
    <t xml:space="preserve">Wipe Tex Industries</t>
  </si>
  <si>
    <t xml:space="preserve">WR-PK-0859</t>
  </si>
  <si>
    <t xml:space="preserve">Yarana Textile Mills</t>
  </si>
  <si>
    <t xml:space="preserve">Plot No.F-158, S.I.T.E. Area Nooriabad, Sindh</t>
  </si>
  <si>
    <t xml:space="preserve">WR-PK-0860</t>
  </si>
  <si>
    <t xml:space="preserve">Yunus Textile Mills Limited</t>
  </si>
  <si>
    <t xml:space="preserve">WR-PK-0861</t>
  </si>
  <si>
    <t xml:space="preserve">Zafar Fabrics (Private) Limited</t>
  </si>
  <si>
    <t xml:space="preserve">WR-PK-0862</t>
  </si>
  <si>
    <t xml:space="preserve">Zaman Textile Mills Ltd.</t>
  </si>
  <si>
    <t xml:space="preserve">Landhi Karachi</t>
  </si>
  <si>
    <t xml:space="preserve">WR-PK-0863</t>
  </si>
  <si>
    <t xml:space="preserve">ZAS Textile</t>
  </si>
  <si>
    <t xml:space="preserve">WR-PK-0864</t>
  </si>
  <si>
    <t xml:space="preserve">Zeba Textile</t>
  </si>
  <si>
    <t xml:space="preserve">WR-PK-0865</t>
  </si>
  <si>
    <t xml:space="preserve">Zeeshan Textile Pvt Ltd</t>
  </si>
  <si>
    <t xml:space="preserve">WR-PK-0866</t>
  </si>
  <si>
    <t xml:space="preserve">Zenith Textile</t>
  </si>
  <si>
    <t xml:space="preserve">WR-PK-0867</t>
  </si>
  <si>
    <t xml:space="preserve">ZIS Textile Pvt. Ltd.</t>
  </si>
  <si>
    <t xml:space="preserve">WR-PK-0868</t>
  </si>
  <si>
    <t xml:space="preserve">ZIYAN TEXTILES</t>
  </si>
  <si>
    <t xml:space="preserve">WR-PK-0869</t>
  </si>
  <si>
    <t xml:space="preserve">Zulifiqar Weaving &amp;Towel</t>
  </si>
  <si>
    <t xml:space="preserve">Plot No 667-F Shed No 2 Shafiq Colony Gabol Town, KARACHI, Sindh</t>
  </si>
  <si>
    <t xml:space="preserve">WR-PK-0870</t>
  </si>
  <si>
    <t xml:space="preserve">Zurash Industries (Pvt) Ltd.</t>
  </si>
  <si>
    <t xml:space="preserve">WR-PK-0871</t>
  </si>
  <si>
    <t xml:space="preserve">Established operator — Accord: 3,500 workers</t>
  </si>
  <si>
    <t xml:space="preserve">WR-PK-0872</t>
  </si>
  <si>
    <t xml:space="preserve">Established operator — Accord: 5,395–5,807 workers</t>
  </si>
  <si>
    <t xml:space="preserve">WR-PK-0873</t>
  </si>
  <si>
    <t xml:space="preserve">WR-PK-0874</t>
  </si>
  <si>
    <t xml:space="preserve">Established operator — Accord: 3,100–3,500 workers</t>
  </si>
  <si>
    <t xml:space="preserve">WR-PK-0875</t>
  </si>
  <si>
    <t xml:space="preserve">Established operator — PSX listed. Accord: three sites — 5,981, 6,193 (Manga) and 1,616 workers</t>
  </si>
  <si>
    <t xml:space="preserve">WR-PK-0876</t>
  </si>
  <si>
    <t xml:space="preserve">Live project signal — EIA: extension of dyeing / printing unit + ETP (~564 m³/day). Accord: units of 2,200–4,366 workers</t>
  </si>
  <si>
    <t xml:space="preserve">WR-PK-0877</t>
  </si>
  <si>
    <t xml:space="preserve">WR-PK-0878</t>
  </si>
  <si>
    <t xml:space="preserve">WR-PK-0879</t>
  </si>
  <si>
    <t xml:space="preserve">WR-PK-0880</t>
  </si>
  <si>
    <t xml:space="preserve">WR-PK-0881</t>
  </si>
  <si>
    <t xml:space="preserve">Established operator — Accord: 1,580 workers</t>
  </si>
  <si>
    <t xml:space="preserve">WR-PK-0882</t>
  </si>
  <si>
    <t xml:space="preserve">Established operator — Accord: 2,319–4,476 workers</t>
  </si>
  <si>
    <t xml:space="preserve">WR-PK-0883</t>
  </si>
  <si>
    <t xml:space="preserve">Live project signal — Punjab EPD EIA register: establishment of cotton and yarn dyeing unit, 24-km Multan Road</t>
  </si>
  <si>
    <t xml:space="preserve">WR-PK-0884</t>
  </si>
  <si>
    <t xml:space="preserve">WR-PK-0885</t>
  </si>
  <si>
    <t xml:space="preserve">Established operator — Accord: 1,152 workers</t>
  </si>
  <si>
    <t xml:space="preserve">WR-PK-0886</t>
  </si>
  <si>
    <t xml:space="preserve">Established operator — Accord: two units (180 and 1,200 workers)</t>
  </si>
  <si>
    <t xml:space="preserve">WR-PK-0887</t>
  </si>
  <si>
    <t xml:space="preserve">WR-PK-0888</t>
  </si>
  <si>
    <t xml:space="preserve">Established operator — Accord (Jun-2025): 1,426 workers</t>
  </si>
  <si>
    <t xml:space="preserve">WR-PK-0889</t>
  </si>
  <si>
    <t xml:space="preserve">WR-PK-0890</t>
  </si>
  <si>
    <t xml:space="preserve">Established operator — Accord: 1,680–1,720 workers</t>
  </si>
  <si>
    <t xml:space="preserve">WR-PK-0891</t>
  </si>
  <si>
    <t xml:space="preserve">WR-PK-0892</t>
  </si>
  <si>
    <t xml:space="preserve">WR-PK-0893</t>
  </si>
  <si>
    <t xml:space="preserve">Established operator — Accord: units 1 &amp; 2, 1,220 workers</t>
  </si>
  <si>
    <t xml:space="preserve">WR-PK-0894</t>
  </si>
  <si>
    <t xml:space="preserve">Established operator — PSX listed (textile composite)</t>
  </si>
  <si>
    <t xml:space="preserve">WR-PK-0895</t>
  </si>
  <si>
    <t xml:space="preserve">WR-PK-0896</t>
  </si>
  <si>
    <t xml:space="preserve">Established operator — Accord: 3,501 workers</t>
  </si>
  <si>
    <t xml:space="preserve">WR-PK-0897</t>
  </si>
  <si>
    <t xml:space="preserve">WR-PK-0898</t>
  </si>
  <si>
    <t xml:space="preserve">Established operator — Accord: 2,750 workers</t>
  </si>
  <si>
    <t xml:space="preserve">WR-PK-0899</t>
  </si>
  <si>
    <t xml:space="preserve">Established operator — Accord: two units, 1,650 + 1,350 workers</t>
  </si>
  <si>
    <t xml:space="preserve">WR-PK-0900</t>
  </si>
  <si>
    <t xml:space="preserve">Established operator — Accord (Jan-2026): 1,164 workers</t>
  </si>
  <si>
    <t xml:space="preserve">WR-PK-0901</t>
  </si>
  <si>
    <t xml:space="preserve">Live project signal — EIA (Oct-2025): new dyeing unit 40 TPD; WWTP 100 m³/hr</t>
  </si>
  <si>
    <t xml:space="preserve">WR-PK-0902</t>
  </si>
  <si>
    <t xml:space="preserve">Live project signal — EIA 2025: new dyeing unit 25 TPD; ETP to ZDHC guidelines; 3 × 5 TPH boilers</t>
  </si>
  <si>
    <t xml:space="preserve">WR-PK-0903</t>
  </si>
  <si>
    <t xml:space="preserve">Established operator — Accord: denim cut-to-pack Unit 2</t>
  </si>
  <si>
    <t xml:space="preserve">WR-PK-0904</t>
  </si>
  <si>
    <t xml:space="preserve">Established operator — Accord (Jan-2026): 3,500 workers</t>
  </si>
  <si>
    <t xml:space="preserve">WR-PK-0905</t>
  </si>
  <si>
    <t xml:space="preserve">WR-PK-0906</t>
  </si>
  <si>
    <t xml:space="preserve">WR-PK-0907</t>
  </si>
  <si>
    <t xml:space="preserve">WR-PK-0908</t>
  </si>
  <si>
    <t xml:space="preserve">WR-PK-0909</t>
  </si>
  <si>
    <t xml:space="preserve">WR-PK-0910</t>
  </si>
  <si>
    <t xml:space="preserve">WR-PK-0911</t>
  </si>
  <si>
    <t xml:space="preserve">WR-PK-0912</t>
  </si>
  <si>
    <t xml:space="preserve">Established operator — Accord: Unit-03, 3,539 workers</t>
  </si>
  <si>
    <t xml:space="preserve">WR-PK-0913</t>
  </si>
  <si>
    <t xml:space="preserve">Live project signal — EIA 2025: extension of processing unit; ETP 6,000 m³/day; boilers 30/35/20 TPH; 10 MW steam turbines</t>
  </si>
  <si>
    <t xml:space="preserve">WR-PK-0914</t>
  </si>
  <si>
    <t xml:space="preserve">Established operator — Accord: 3,201 workers</t>
  </si>
  <si>
    <t xml:space="preserve">WR-PK-0915</t>
  </si>
  <si>
    <t xml:space="preserve">WR-PK-0916</t>
  </si>
  <si>
    <t xml:space="preserve">Established operator — PSX listed. Accord: 4,337 workers</t>
  </si>
  <si>
    <t xml:space="preserve">WR-PK-0917</t>
  </si>
  <si>
    <t xml:space="preserve">WR-PK-0918</t>
  </si>
  <si>
    <t xml:space="preserve">Live project signal — EIA: new dyeing &amp; processing unit 45 TPD; ETP upgrade 75 m³/hr; RO recycling of treated water. Accord: socks division 1,050 workers</t>
  </si>
  <si>
    <t xml:space="preserve">WR-PK-0919</t>
  </si>
  <si>
    <t xml:space="preserve">WR-PK-0920</t>
  </si>
  <si>
    <t xml:space="preserve">Established operator — Listed in the LYCRA denim sourcing network</t>
  </si>
  <si>
    <t xml:space="preserve">WR-PK-0921</t>
  </si>
  <si>
    <t xml:space="preserve">WR-PK-0922</t>
  </si>
  <si>
    <t xml:space="preserve">Established operator — PSX listed (textile weaving)</t>
  </si>
  <si>
    <t xml:space="preserve">Code</t>
  </si>
  <si>
    <t xml:space="preserve">Sub-sectors</t>
  </si>
  <si>
    <t xml:space="preserve">WR solutions</t>
  </si>
  <si>
    <t xml:space="preserve">Typical decision-makers</t>
  </si>
  <si>
    <t xml:space="preserve">Priority (1 = highest)</t>
  </si>
  <si>
    <t xml:space="preserve">TX</t>
  </si>
  <si>
    <t xml:space="preserve">Denim; Knitwear &amp; Apparel; Woven &amp; Weaving; Towel &amp; Terry; Home Textile; Dyeing &amp; Printing; Spinning; Composite</t>
  </si>
  <si>
    <t xml:space="preserve">High-COD, coloured effluent; reuse targets; ZDHC / brand compliance</t>
  </si>
  <si>
    <t xml:space="preserve">ETP (MBR/MBBR/IFAS), UF+BWRO recycling, HBWRO, ZLD</t>
  </si>
  <si>
    <t xml:space="preserve">GM Utilities; ETP Manager; Director Technical; Sustainability Manager</t>
  </si>
  <si>
    <t xml:space="preserve">1</t>
  </si>
  <si>
    <t xml:space="preserve">PH</t>
  </si>
  <si>
    <t xml:space="preserve">Sterile/Injectables; Orals/Solids; API/Bulk; Consumer Healthcare; Hospitals; Renal/dialysis centres</t>
  </si>
  <si>
    <t xml:space="preserve">USP purified water, WFI feed, validation; pharma effluent; dialysis-grade water, CSSD, hospital STP</t>
  </si>
  <si>
    <t xml:space="preserve">2-pass RO, EDI, UF, containerized MBR/IFAS ETP; dialysis RO; STP</t>
  </si>
  <si>
    <t xml:space="preserve">Head of Engineering; Utilities; QA/Validation; Director Facilities; Biomedical</t>
  </si>
  <si>
    <t xml:space="preserve">FB</t>
  </si>
  <si>
    <t xml:space="preserve">Dairy; Carbonated drinks; Juices; Bottled water; Brewery; Confectionery; Poultry; Edible oil; Starch; Rice</t>
  </si>
  <si>
    <t xml:space="preserve">Process &amp; bottle-wash water; high-BOD effluent; CIP</t>
  </si>
  <si>
    <t xml:space="preserve">RO/UF process water, anaerobic+aerobic ETP, reuse</t>
  </si>
  <si>
    <t xml:space="preserve">Plant Manager; Utilities; EHS</t>
  </si>
  <si>
    <t xml:space="preserve">SG</t>
  </si>
  <si>
    <t xml:space="preserve">Sugar; Ethanol distillery; Co-generation</t>
  </si>
  <si>
    <t xml:space="preserve">Boiler feed for co-gen; spent wash; seasonal effluent</t>
  </si>
  <si>
    <t xml:space="preserve">DM/RO boiler feed, condensate polishing, distillery ETP/ZLD</t>
  </si>
  <si>
    <t xml:space="preserve">GM Technical; Co-gen Manager</t>
  </si>
  <si>
    <t xml:space="preserve">CH</t>
  </si>
  <si>
    <t xml:space="preserve">Chlor-alkali; Soda ash; Peroxide; Dyes; Specialty; Industrial gases; Paints</t>
  </si>
  <si>
    <t xml:space="preserve">Demin water, brine, hazardous effluent</t>
  </si>
  <si>
    <t xml:space="preserve">DM/RO, brine RO, ETP, ZLD</t>
  </si>
  <si>
    <t xml:space="preserve">Plant Manager; EHS; Engineering</t>
  </si>
  <si>
    <t xml:space="preserve">OG</t>
  </si>
  <si>
    <t xml:space="preserve">Refinery; Upstream E&amp;P; Oil marketing depots; Gas utility</t>
  </si>
  <si>
    <t xml:space="preserve">Process water, produced water, oily effluent</t>
  </si>
  <si>
    <t xml:space="preserve">Refinery ETP, BWRO/SWRO, produced-water treatment</t>
  </si>
  <si>
    <t xml:space="preserve">Utilities/Process Manager; Procurement</t>
  </si>
  <si>
    <t xml:space="preserve">FT</t>
  </si>
  <si>
    <t xml:space="preserve">Urea/Ammonia; CAN/NP/DAP</t>
  </si>
  <si>
    <t xml:space="preserve">Very high cooling &amp; boiler water; blowdown</t>
  </si>
  <si>
    <t xml:space="preserve">Blowdown recycling, DM/RO, ZLD</t>
  </si>
  <si>
    <t xml:space="preserve">PW</t>
  </si>
  <si>
    <t xml:space="preserve">Coal; RLNG/combined cycle; Oil; Thar coal; Nuclear</t>
  </si>
  <si>
    <t xml:space="preserve">Boiler make-up, cooling, FGD effluent, ZLD</t>
  </si>
  <si>
    <t xml:space="preserve">SWRO/BWRO, DM, mixed-bed, ETP, ZLD</t>
  </si>
  <si>
    <t xml:space="preserve">Chemistry Manager; O&amp;M Manager</t>
  </si>
  <si>
    <t xml:space="preserve">CM</t>
  </si>
  <si>
    <t xml:space="preserve">Cement with captive power / WHR</t>
  </si>
  <si>
    <t xml:space="preserve">Boiler feed, cooling</t>
  </si>
  <si>
    <t xml:space="preserve">Boiler-feed RO/DM, softening</t>
  </si>
  <si>
    <t xml:space="preserve">2</t>
  </si>
  <si>
    <t xml:space="preserve">ST</t>
  </si>
  <si>
    <t xml:space="preserve">Long steel; Flat/galvanizing; Pipes; Non-ferrous</t>
  </si>
  <si>
    <t xml:space="preserve">Cooling &amp; scale water; pickling acid</t>
  </si>
  <si>
    <t xml:space="preserve">Cooling water treatment, acid effluent ETP, RO reuse</t>
  </si>
  <si>
    <t xml:space="preserve">Plant Head; Utilities</t>
  </si>
  <si>
    <t xml:space="preserve">MN</t>
  </si>
  <si>
    <t xml:space="preserve">Coal (Thar); Copper-gold; Lead-zinc</t>
  </si>
  <si>
    <t xml:space="preserve">Mine-water, brackish groundwater, camp STP</t>
  </si>
  <si>
    <t xml:space="preserve">Head of Projects; Utilities</t>
  </si>
  <si>
    <t xml:space="preserve">AU</t>
  </si>
  <si>
    <t xml:space="preserve">OEM assembly; Tractors; Motorcycles; Tyres</t>
  </si>
  <si>
    <t xml:space="preserve">Paint-shop &amp; phosphating effluent</t>
  </si>
  <si>
    <t xml:space="preserve">Paint-shop ETP, RO process water</t>
  </si>
  <si>
    <t xml:space="preserve">Plant Engineering; EHS</t>
  </si>
  <si>
    <t xml:space="preserve">BT</t>
  </si>
  <si>
    <t xml:space="preserve">Lead-acid</t>
  </si>
  <si>
    <t xml:space="preserve">Lead/acid effluent</t>
  </si>
  <si>
    <t xml:space="preserve">Plant Manager; EHS</t>
  </si>
  <si>
    <t xml:space="preserve">EA</t>
  </si>
  <si>
    <t xml:space="preserve">Appliances; Cables; Transformers</t>
  </si>
  <si>
    <t xml:space="preserve">Plating/paint effluent, process water</t>
  </si>
  <si>
    <t xml:space="preserve">Plant Engineering</t>
  </si>
  <si>
    <t xml:space="preserve">3</t>
  </si>
  <si>
    <t xml:space="preserve">GC</t>
  </si>
  <si>
    <t xml:space="preserve">Container/float glass; Tiles</t>
  </si>
  <si>
    <t xml:space="preserve">Cooling &amp; process water</t>
  </si>
  <si>
    <t xml:space="preserve">Softening, RO, cooling water</t>
  </si>
  <si>
    <t xml:space="preserve">PP</t>
  </si>
  <si>
    <t xml:space="preserve">Paper &amp; board; Packaging; Liquid packaging</t>
  </si>
  <si>
    <t xml:space="preserve">Very high water use; fibre/chemical effluent</t>
  </si>
  <si>
    <t xml:space="preserve">Paper-mill ETP, reuse</t>
  </si>
  <si>
    <t xml:space="preserve">LT</t>
  </si>
  <si>
    <t xml:space="preserve">Tanneries; Footwear; Tannery CETPs</t>
  </si>
  <si>
    <t xml:space="preserve">Chrome effluent; strict NEQS</t>
  </si>
  <si>
    <t xml:space="preserve">Plant Manager; Association</t>
  </si>
  <si>
    <t xml:space="preserve">DF</t>
  </si>
  <si>
    <t xml:space="preserve">Ordnance; Heavy engineering; Shipyard</t>
  </si>
  <si>
    <t xml:space="preserve">Plating/process effluent</t>
  </si>
  <si>
    <t xml:space="preserve">EP</t>
  </si>
  <si>
    <t xml:space="preserve">EPC contractors; Consultants; MEP</t>
  </si>
  <si>
    <t xml:space="preserve">Water packages inside larger projects</t>
  </si>
  <si>
    <t xml:space="preserve">Subcontract / specification</t>
  </si>
  <si>
    <t xml:space="preserve">BD Head; Procurement</t>
  </si>
  <si>
    <t xml:space="preserve">Partner</t>
  </si>
  <si>
    <t xml:space="preserve">File / sheet</t>
  </si>
  <si>
    <t xml:space="preserve">Issue</t>
  </si>
  <si>
    <t xml:space="preserve">Action</t>
  </si>
  <si>
    <t xml:space="preserve">Industries List / Textile</t>
  </si>
  <si>
    <t xml:space="preserve">Row 11</t>
  </si>
  <si>
    <t xml:space="preserve">Not a textile company — listed under Textile</t>
  </si>
  <si>
    <t xml:space="preserve">Re-classified to Oil &amp; Gas</t>
  </si>
  <si>
    <t xml:space="preserve">Row 18</t>
  </si>
  <si>
    <t xml:space="preserve">Re-classified to Steel &amp; Metals</t>
  </si>
  <si>
    <t xml:space="preserve">Row 26</t>
  </si>
  <si>
    <t xml:space="preserve">Re-classified to Food &amp; Beverage</t>
  </si>
  <si>
    <t xml:space="preserve">Row 39</t>
  </si>
  <si>
    <t xml:space="preserve">Row 44</t>
  </si>
  <si>
    <t xml:space="preserve">Industries List / Petrochemical</t>
  </si>
  <si>
    <t xml:space="preserve">Row 5</t>
  </si>
  <si>
    <t xml:space="preserve">Byco Petroleum Pakistan Ltd</t>
  </si>
  <si>
    <t xml:space="preserve">Columns shifted: 'Syed Shehensha Naqvi' sits in Sales Manager and phone '03332358906' sits in Contact Person</t>
  </si>
  <si>
    <t xml:space="preserve">Moved to Contact / Phone in master</t>
  </si>
  <si>
    <t xml:space="preserve">Industries List / Oil &amp; Gas</t>
  </si>
  <si>
    <t xml:space="preserve">Row 2</t>
  </si>
  <si>
    <t xml:space="preserve">United Energy Pakistan limited</t>
  </si>
  <si>
    <t xml:space="preserve">Columns shifted: 'Waqas' sits in Sales Manager and phone '03018292379' sits in Contact Person</t>
  </si>
  <si>
    <t xml:space="preserve">Industries List / Towel</t>
  </si>
  <si>
    <t xml:space="preserve">Afroze Textile Industries (Pvt) Ltd.</t>
  </si>
  <si>
    <t xml:space="preserve">Duplicate of 'Afroze Textiles Industries (Private) Limited' (Textile)</t>
  </si>
  <si>
    <t xml:space="preserve">Merged into one record</t>
  </si>
  <si>
    <t xml:space="preserve">Al Rahim Textile Industries</t>
  </si>
  <si>
    <t xml:space="preserve">Duplicate of 'Al Rahim Textile Industries Limited' (Textile)</t>
  </si>
  <si>
    <t xml:space="preserve">Al-Karam Textile</t>
  </si>
  <si>
    <t xml:space="preserve">Duplicate of 'Al-Karam Textile Mills (Private) Limited' (Textile)</t>
  </si>
  <si>
    <t xml:space="preserve">Al-Karam Towel Industries (Pvt) Ltd</t>
  </si>
  <si>
    <t xml:space="preserve">Duplicate of 'Al-Karam Towel Industries' (Textile)</t>
  </si>
  <si>
    <t xml:space="preserve">Feroze 1888 Mills Ltd.</t>
  </si>
  <si>
    <t xml:space="preserve">Duplicate of 'Feroze1888 Mills Limited' (Textile)</t>
  </si>
  <si>
    <t xml:space="preserve">International Textiles Limited</t>
  </si>
  <si>
    <t xml:space="preserve">Duplicate of 'International Textile Limited' (Textile)</t>
  </si>
  <si>
    <t xml:space="preserve">M-Tex International</t>
  </si>
  <si>
    <t xml:space="preserve">Duplicate of 'Mirtex International Company' (Towel)</t>
  </si>
  <si>
    <t xml:space="preserve">Nazim Textiles</t>
  </si>
  <si>
    <t xml:space="preserve">Duplicate of 'Naz Textiles (Pvt) Limited' (Towel)</t>
  </si>
  <si>
    <t xml:space="preserve">United Towel Exporters (Pvt) Ltd</t>
  </si>
  <si>
    <t xml:space="preserve">Duplicate of 'United Towel Exporters Private Limited' (Textile)</t>
  </si>
  <si>
    <t xml:space="preserve">Zeba Textile Mills</t>
  </si>
  <si>
    <t xml:space="preserve">Duplicate of 'Zeba Textile' (Towel)</t>
  </si>
  <si>
    <t xml:space="preserve">Industries List / Heimtextil</t>
  </si>
  <si>
    <t xml:space="preserve">Duplicate of 'Adnan Apparel' (Towel)</t>
  </si>
  <si>
    <t xml:space="preserve">Duplicate of 'Afroze Textiles Industries (Private) Limited' (Textile + Towel)</t>
  </si>
  <si>
    <t xml:space="preserve">Duplicate of 'Alfalah Textiles' (Towel)</t>
  </si>
  <si>
    <t xml:space="preserve">Ali Textiles</t>
  </si>
  <si>
    <t xml:space="preserve">Duplicate of 'AI TEXTILES' (Heimtextil)</t>
  </si>
  <si>
    <t xml:space="preserve">Ali Textiles Pvt. Ltd.</t>
  </si>
  <si>
    <t xml:space="preserve">Al-Karam Textile Mills (Pvt) Ltd.</t>
  </si>
  <si>
    <t xml:space="preserve">Duplicate of 'Al-Karam Textile Mills (Private) Limited' (Textile + Towel)</t>
  </si>
  <si>
    <t xml:space="preserve">Al Karam Towel Industries (Pvt) Ltd.</t>
  </si>
  <si>
    <t xml:space="preserve">Duplicate of 'Al-Karam Towel Industries' (Textile + Towel)</t>
  </si>
  <si>
    <t xml:space="preserve">Al-Rahim Textile Industries Ltd.</t>
  </si>
  <si>
    <t xml:space="preserve">Duplicate of 'Al Rahim Textile Industries Limited' (Textile + Towel)</t>
  </si>
  <si>
    <t xml:space="preserve">Anwartex Industries Pvt Ltd</t>
  </si>
  <si>
    <t xml:space="preserve">Duplicate of 'Anwartex Industries (Pvt.) Ltd.' (Towel)</t>
  </si>
  <si>
    <t xml:space="preserve">Duplicate of 'Azam Textiles' (Towel)</t>
  </si>
  <si>
    <t xml:space="preserve">Bari Textile Mills (private) Limited</t>
  </si>
  <si>
    <t xml:space="preserve">Duplicate of 'Bari Textile Mills (Pvt) Ltd' (Towel)</t>
  </si>
  <si>
    <t xml:space="preserve">Duplicate of 'Bismillah Towel Industries' (Towel)</t>
  </si>
  <si>
    <t xml:space="preserve">Duplicate of 'Fashion Art International' (Towel)</t>
  </si>
  <si>
    <t xml:space="preserve">Fatima Towel Industries (Pvt) Ltd.</t>
  </si>
  <si>
    <t xml:space="preserve">Duplicate of 'Fatima Towel Industries' (Towel)</t>
  </si>
  <si>
    <t xml:space="preserve">Fatima Weaving Mills (Pvt) Ltd.</t>
  </si>
  <si>
    <t xml:space="preserve">Duplicate of 'Fatima Weaving Mills (Pvt) Ltd' (Towel)</t>
  </si>
  <si>
    <t xml:space="preserve">Duplicate of 'Fazal Sardar Textile Mills' (Towel)</t>
  </si>
  <si>
    <t xml:space="preserve">F.B Industries</t>
  </si>
  <si>
    <t xml:space="preserve">Duplicate of 'F.B.Industries' (Towel)</t>
  </si>
  <si>
    <t xml:space="preserve">Duplicate of 'Feroze1888 Mills Limited' (Textile + Towel)</t>
  </si>
  <si>
    <t xml:space="preserve">Duplicate of 'Friends Cotton Products' (Towel)</t>
  </si>
  <si>
    <t xml:space="preserve">Gadoon Textile Mills Limited</t>
  </si>
  <si>
    <t xml:space="preserve">Duplicate of 'Gadoon Textile Mills Ltd' (Textile)</t>
  </si>
  <si>
    <t xml:space="preserve">Duplicate of 'Ghazali Textile Industries' (Towel)</t>
  </si>
  <si>
    <t xml:space="preserve">Gul Ahmed Textile Mills Ltd.</t>
  </si>
  <si>
    <t xml:space="preserve">Duplicate of 'Gul Ahmed Textile Mills Limited' (Textile)</t>
  </si>
  <si>
    <t xml:space="preserve">Haji Rafiuddin Waliuddin Pvt. Ltd.</t>
  </si>
  <si>
    <t xml:space="preserve">Duplicate of 'Haji Rafiuddin Waliuddin' (Towel)</t>
  </si>
  <si>
    <t xml:space="preserve">Duplicate of 'Hasham Towel' (Towel)</t>
  </si>
  <si>
    <t xml:space="preserve">Hassan Textile Mills Pvt. Ltd.</t>
  </si>
  <si>
    <t xml:space="preserve">Duplicate of 'Hassan Textiles' (Towel)</t>
  </si>
  <si>
    <t xml:space="preserve">Duplicate of 'Hassan Textiles' (Towel + Heimtextil)</t>
  </si>
  <si>
    <t xml:space="preserve">Duplicate of 'Hussain Textiles' (Towel)</t>
  </si>
  <si>
    <t xml:space="preserve">Imperial Towel Industries (Pvt) Ltd.</t>
  </si>
  <si>
    <t xml:space="preserve">Duplicate of 'Imperial Towel Industries(Pvt)Ltd.' (Towel)</t>
  </si>
  <si>
    <t xml:space="preserve">Duplicate of 'International Textile Limited' (Textile + Towel)</t>
  </si>
  <si>
    <t xml:space="preserve">J. Sons Industries</t>
  </si>
  <si>
    <t xml:space="preserve">Duplicate of 'J.Sons Industries' (Towel)</t>
  </si>
  <si>
    <t xml:space="preserve">Kamal Mills Pvt. Ltd.</t>
  </si>
  <si>
    <t xml:space="preserve">Duplicate of 'Kamal Ltd.' (Heimtextil)</t>
  </si>
  <si>
    <t xml:space="preserve">Kamal Textile Mills (Private) Limited</t>
  </si>
  <si>
    <t xml:space="preserve">Duplicate of 'Kamal Textiles Limited' (Textile)</t>
  </si>
  <si>
    <t xml:space="preserve">Duplicate of 'KN Terry Tex' (Towel)</t>
  </si>
  <si>
    <t xml:space="preserve">Lakhany Silk Mills (Pvt) Ltd.</t>
  </si>
  <si>
    <t xml:space="preserve">Duplicate of 'Lakhany Silk Mills (Pvt) Limited' (Towel)</t>
  </si>
  <si>
    <t xml:space="preserve">Liberty Mills Ltd.</t>
  </si>
  <si>
    <t xml:space="preserve">Duplicate of 'Liberty Mills Limited' (Textile)</t>
  </si>
  <si>
    <t xml:space="preserve">Lucky Textile Mills Ltd.</t>
  </si>
  <si>
    <t xml:space="preserve">Duplicate of 'Lucky Textile Mills Limited' (Textile)</t>
  </si>
  <si>
    <t xml:space="preserve">Duplicate of 'Maguari Textile' (Towel)</t>
  </si>
  <si>
    <t xml:space="preserve">M.K. International</t>
  </si>
  <si>
    <t xml:space="preserve">Duplicate of 'M. K International' (Towel)</t>
  </si>
  <si>
    <t xml:space="preserve">Mustaqim Dyeing Printing Industries (Private) Limited</t>
  </si>
  <si>
    <t xml:space="preserve">Duplicate of 'Mustaqim Dyeing Printing Industries' (Textile)</t>
  </si>
  <si>
    <t xml:space="preserve">Duplicate of 'Nazeer Dyeing &amp; Bleaching' (Towel)</t>
  </si>
  <si>
    <t xml:space="preserve">Duplicate of 'New Zeenat Textile Mills' (Towel)</t>
  </si>
  <si>
    <t xml:space="preserve">Nimra Textile (Pvt) Ltd.</t>
  </si>
  <si>
    <t xml:space="preserve">Duplicate of 'Limra Textile' (Towel)</t>
  </si>
  <si>
    <t xml:space="preserve">Duplicate of 'Noorpur Industries' (Towel)</t>
  </si>
  <si>
    <t xml:space="preserve">Duplicate of 'Patel Towel Industries' (Towel)</t>
  </si>
  <si>
    <t xml:space="preserve">Paul Textiles &amp; Towel Industries</t>
  </si>
  <si>
    <t xml:space="preserve">Duplicate of 'Paul Textile &amp; Towel Industries' (Towel)</t>
  </si>
  <si>
    <t xml:space="preserve">Duplicate of 'Pearl Fabrics Company' (Towel)</t>
  </si>
  <si>
    <t xml:space="preserve">Duplicate of 'Polani Textiles' (Towel)</t>
  </si>
  <si>
    <t xml:space="preserve">Regal Textile Industries (Pvt) Ltd</t>
  </si>
  <si>
    <t xml:space="preserve">Duplicate of 'Regal Textile Industries (Pvt) Limited' (Towel)</t>
  </si>
  <si>
    <t xml:space="preserve">Duplicate of 'Saleem Textile' (Towel)</t>
  </si>
  <si>
    <t xml:space="preserve">Duplicate of 'Santex Industries' (Towel)</t>
  </si>
  <si>
    <t xml:space="preserve">Saya Weaving Mills (Pvt) Ltd.</t>
  </si>
  <si>
    <t xml:space="preserve">Duplicate of 'Saya Weaving Mills (Pvt) Limited' (Towel)</t>
  </si>
  <si>
    <t xml:space="preserve">Shehzad Enterprises</t>
  </si>
  <si>
    <t xml:space="preserve">Duplicate of 'Shahzad Enterprises' (Towel)</t>
  </si>
  <si>
    <t xml:space="preserve">Duplicate of 'Shiwani Textile' (Towel)</t>
  </si>
  <si>
    <t xml:space="preserve">Silver Textile Factory (Private) Limited</t>
  </si>
  <si>
    <t xml:space="preserve">Duplicate of 'Silver Textile Factory' (Towel)</t>
  </si>
  <si>
    <t xml:space="preserve">Duplicate of 'Sohail Weaving Industries' (Towel)</t>
  </si>
  <si>
    <t xml:space="preserve">S.S. Textile Industries</t>
  </si>
  <si>
    <t xml:space="preserve">Duplicate of 'S.S Textile Industries' (Towel)</t>
  </si>
  <si>
    <t xml:space="preserve">Duplicate of 'Tee Zee Textile' (Towel)</t>
  </si>
  <si>
    <t xml:space="preserve">Duplicate of 'Terry Tex International' (Towel)</t>
  </si>
  <si>
    <t xml:space="preserve">Duplicate of 'Towellers Limited' (Towel)</t>
  </si>
  <si>
    <t xml:space="preserve">Tulip Towel Industries Pvt Ltd</t>
  </si>
  <si>
    <t xml:space="preserve">Duplicate of 'Tulip Towel Industries (Pvt) Ltd' (Towel)</t>
  </si>
  <si>
    <t xml:space="preserve">Union Fabrics (Pvt.) Ltd.</t>
  </si>
  <si>
    <t xml:space="preserve">Duplicate of 'Union Fabrics (Private) Limited' (Textile)</t>
  </si>
  <si>
    <t xml:space="preserve">Duplicate of 'Union Textile Industries' (Towel)</t>
  </si>
  <si>
    <t xml:space="preserve">United Towel Exporters (Pvt) Ltd.</t>
  </si>
  <si>
    <t xml:space="preserve">Duplicate of 'United Towel Exporters Private Limited' (Textile + Towel)</t>
  </si>
  <si>
    <t xml:space="preserve">Duplicate of 'Utopia Industries (Private) Limited' (Textile)</t>
  </si>
  <si>
    <t xml:space="preserve">Duplicate of 'Weavers International' (Towel)</t>
  </si>
  <si>
    <t xml:space="preserve">Yunus Textile Mills Ltd.</t>
  </si>
  <si>
    <t xml:space="preserve">Duplicate of 'Yunus Textile Mills Limited' (Textile)</t>
  </si>
  <si>
    <t xml:space="preserve">Zulfiqar Weaving &amp; Towel</t>
  </si>
  <si>
    <t xml:space="preserve">Duplicate of 'Zulifiqar Weaving &amp;Towel' (Towel)</t>
  </si>
  <si>
    <t xml:space="preserve">Duplicate of 'United Energy Pakistan Limited' (Textile)</t>
  </si>
  <si>
    <t xml:space="preserve">National Refinery</t>
  </si>
  <si>
    <t xml:space="preserve">Duplicate of 'National Refinery Limited' (Textile)</t>
  </si>
  <si>
    <t xml:space="preserve">Industries List / Pharma</t>
  </si>
  <si>
    <t xml:space="preserve">Abbott Laboratories</t>
  </si>
  <si>
    <t xml:space="preserve">Duplicate of 'ABBOTT LABORATORIES' (Pharma)</t>
  </si>
  <si>
    <t xml:space="preserve">Duplicate of 'Essity Pakistan Limite...' (Pharma)</t>
  </si>
  <si>
    <t xml:space="preserve">Genix Pharma Private L...</t>
  </si>
  <si>
    <t xml:space="preserve">Duplicate of 'GENIX PHARMA (PRIVATE) LIMITED' (Pharma)</t>
  </si>
  <si>
    <t xml:space="preserve">Duplicate of 'Pakistan Pharmaceutical' (Pharma)</t>
  </si>
  <si>
    <t xml:space="preserve">The Searle Company Ltd...</t>
  </si>
  <si>
    <t xml:space="preserve">Duplicate of 'THE SEARLE COMPANY' (Pharma)</t>
  </si>
  <si>
    <t xml:space="preserve">Industries List / Projects Pipeline</t>
  </si>
  <si>
    <t xml:space="preserve">Row 47</t>
  </si>
  <si>
    <t xml:space="preserve">M.G.Engg.</t>
  </si>
  <si>
    <t xml:space="preserve">Client name and project swapped: client shows consultant 'M.G.Engg.', project field shows 'Artistic Garment Industries'</t>
  </si>
  <si>
    <t xml:space="preserve">Treat client = Artistic Garment Industries, via consultant M.G. Engg.</t>
  </si>
  <si>
    <t xml:space="preserve">Row 48</t>
  </si>
  <si>
    <t xml:space="preserve">Row 51</t>
  </si>
  <si>
    <t xml:space="preserve">GENIX PHARMA PRIVATE LIMITED</t>
  </si>
  <si>
    <t xml:space="preserve">Project description is just the company name — scope missing</t>
  </si>
  <si>
    <t xml:space="preserve">Fill project scope</t>
  </si>
  <si>
    <t xml:space="preserve">Row 53</t>
  </si>
  <si>
    <t xml:space="preserve">S.J.&amp;G. Fazul Ellahie (Pvt.) Ltd</t>
  </si>
  <si>
    <t xml:space="preserve">Softening plant 3 m³/hr valued PKR 177,500,000 — about 100× too high (likely 1,775,000)</t>
  </si>
  <si>
    <t xml:space="preserve">Verify value; inflates pipeline</t>
  </si>
  <si>
    <t xml:space="preserve">Row 22</t>
  </si>
  <si>
    <t xml:space="preserve">Feroze 1888 - HUB</t>
  </si>
  <si>
    <t xml:space="preserve">RO 33.25 m³/hr carries the same PKR 154,556,000 as the full ETP+RO proposal on the row above — double counted</t>
  </si>
  <si>
    <t xml:space="preserve">Verify RO-only value</t>
  </si>
  <si>
    <t xml:space="preserve">Industries List / Expected to close</t>
  </si>
  <si>
    <t xml:space="preserve">Row 7</t>
  </si>
  <si>
    <t xml:space="preserve">Artistic Milliner Unit # 2</t>
  </si>
  <si>
    <t xml:space="preserve">Amount column holds text 'Tech Submission' instead of a value</t>
  </si>
  <si>
    <t xml:space="preserve">Enter PKR value</t>
  </si>
  <si>
    <t xml:space="preserve">Industries List / Hot cases</t>
  </si>
  <si>
    <t xml:space="preserve">Sr# column</t>
  </si>
  <si>
    <t xml:space="preserve">Serial jumps from 7 to 8 (no row 7); Amount, Probability, Contact columns mostly blank</t>
  </si>
  <si>
    <t xml:space="preserve">Replaced by Opportunity records in portal</t>
  </si>
  <si>
    <t xml:space="preserve">Industries List / Hot cases vs Expected to close</t>
  </si>
  <si>
    <t xml:space="preserve">Al Karam, AGI K10, Digital Apparel, Martin Dow, Artistic Milliner</t>
  </si>
  <si>
    <t xml:space="preserve">Same deals tracked in two sheets with different fields (date in one, amount/probability in the other)</t>
  </si>
  <si>
    <t xml:space="preserve">One Opportunity record per deal</t>
  </si>
  <si>
    <t xml:space="preserve">Industries List / all sector sheets</t>
  </si>
  <si>
    <t xml:space="preserve">Sales Manager column</t>
  </si>
  <si>
    <t xml:space="preserve">Sales Manager blank for practically every company — no ownership</t>
  </si>
  <si>
    <t xml:space="preserve">Owner field mandatory in portal</t>
  </si>
  <si>
    <t xml:space="preserve">Industries List / Summary</t>
  </si>
  <si>
    <t xml:space="preserve">Qty column</t>
  </si>
  <si>
    <t xml:space="preserve">Company counts not filled; Total shows 0</t>
  </si>
  <si>
    <t xml:space="preserve">Auto-counted in portal</t>
  </si>
  <si>
    <t xml:space="preserve">Visit Plan / 'Sept. 15-18' tab</t>
  </si>
  <si>
    <t xml:space="preserve">Header</t>
  </si>
  <si>
    <t xml:space="preserve">Tab name says 15-18 Sept but header says 'From: 07.09.2026 to 12.09.2026'</t>
  </si>
  <si>
    <t xml:space="preserve">Dates generated automatically</t>
  </si>
  <si>
    <t xml:space="preserve">Visit Plan / all weekly tabs</t>
  </si>
  <si>
    <t xml:space="preserve">Visited/Remarks + Expected Month</t>
  </si>
  <si>
    <t xml:space="preserve">Outcome columns blank in most rows across 13 weeks</t>
  </si>
  <si>
    <t xml:space="preserve">Outcome required (soft block + reason code)</t>
  </si>
  <si>
    <t xml:space="preserve">Visit Plan / Oct 05-10</t>
  </si>
  <si>
    <t xml:space="preserve">Contact columns</t>
  </si>
  <si>
    <t xml:space="preserve">Two different column layouts used across tabs ('Contact Person/Designation' + separate 'Designation')</t>
  </si>
  <si>
    <t xml:space="preserve">Single fixed form</t>
  </si>
  <si>
    <t xml:space="preserve">Weekly Sales Dashboard</t>
  </si>
  <si>
    <t xml:space="preserve">KPIs 3-5</t>
  </si>
  <si>
    <t xml:space="preserve">Emails and Company Registration are counted, but no record exists anywhere of which emails / which registrations</t>
  </si>
  <si>
    <t xml:space="preserve">Portal logs every Activity (visit, call, email, registration), counts derived</t>
  </si>
  <si>
    <t xml:space="preserve">Target column</t>
  </si>
  <si>
    <t xml:space="preserve">No place where targets are set or agreed; each rep can type his own</t>
  </si>
  <si>
    <t xml:space="preserve">Manager sets targets per rep per week/month</t>
  </si>
  <si>
    <t xml:space="preserve">Marked 'Closed. Sold to Naveena', but Accord (Jun-2025) lists its Unit 2 operating with 3,524 workers</t>
  </si>
  <si>
    <t xml:space="preserve">Re-check ownership and status</t>
  </si>
  <si>
    <t xml:space="preserve">Tufail Chemicals</t>
  </si>
  <si>
    <t xml:space="preserve">Same group appears in the Punjab EPD register as Tufail Starchem Industries (new chemicals unit, Kasur)</t>
  </si>
  <si>
    <t xml:space="preserve">Treat as existing WR contact; follow up the new unit</t>
  </si>
  <si>
    <t xml:space="preserve">Severity</t>
  </si>
  <si>
    <t xml:space="preserve">Area</t>
  </si>
  <si>
    <t xml:space="preserve">Weak point found</t>
  </si>
  <si>
    <t xml:space="preserve">Fix</t>
  </si>
  <si>
    <t xml:space="preserve">Status</t>
  </si>
  <si>
    <t xml:space="preserve">Critical</t>
  </si>
  <si>
    <t xml:space="preserve">Process</t>
  </si>
  <si>
    <t xml:space="preserve">No activity log for emails, calls and company registrations — Weekly Dashboard counts them but the system design only logged visits</t>
  </si>
  <si>
    <t xml:space="preserve">Added 'Activity' record (Visit / Call / Email / Registration / Proposal follow-up). Every dashboard KPI is a count of activities — nothing typed by hand</t>
  </si>
  <si>
    <t xml:space="preserve">Fixed in design</t>
  </si>
  <si>
    <t xml:space="preserve">Targets had no owner — rep could type his own target</t>
  </si>
  <si>
    <t xml:space="preserve">Manager sets weekly/monthly targets per rep; rep sees target vs actual</t>
  </si>
  <si>
    <t xml:space="preserve">Data</t>
  </si>
  <si>
    <t xml:space="preserve">Pipeline figures in WR file contain errors (softening plant ~100× overvalued; Feroze Hub RO double-counted; text in amount field)</t>
  </si>
  <si>
    <t xml:space="preserve">Listed in 'Data Issues' sheet; must be corrected before import, otherwise CEO cockpit shows wrong pipeline</t>
  </si>
  <si>
    <t xml:space="preserve">Needs WR correction</t>
  </si>
  <si>
    <t xml:space="preserve">Accuracy</t>
  </si>
  <si>
    <t xml:space="preserve">My earlier chat figure for 'Expected to close' (~1,159M) was wrong</t>
  </si>
  <si>
    <t xml:space="preserve">Correct: PKR 852.4M across 10 priced deals; probability-weighted PKR 584.6M</t>
  </si>
  <si>
    <t xml:space="preserve">Corrected</t>
  </si>
  <si>
    <t xml:space="preserve">Earlier chat company lists contained unverifiable or wrong names (e.g. 'Shezan Pakistan Glass', 'Lotte CNG', laundry names)</t>
  </si>
  <si>
    <t xml:space="preserve">All removed — see 'Removed Names' sheet. Master now holds only WR's own list + known operating companies</t>
  </si>
  <si>
    <t xml:space="preserve">Hosting</t>
  </si>
  <si>
    <t xml:space="preserve">Unknown whether waterregime.com hosting (Hostinger) runs Python apps</t>
  </si>
  <si>
    <t xml:space="preserve">Check hPanel for Python/Node support or VPS plan before Day 11. App will be built MySQL-compatible. Do NOT move nameservers — website and email must stay untouched</t>
  </si>
  <si>
    <t xml:space="preserve">Open — check hPanel</t>
  </si>
  <si>
    <t xml:space="preserve">High</t>
  </si>
  <si>
    <t xml:space="preserve">Working model</t>
  </si>
  <si>
    <t xml:space="preserve">I said deliverables would be ready 'by tomorrow morning' — I only work while a session is open; nothing progresses in the background</t>
  </si>
  <si>
    <t xml:space="preserve">Each build step is done inside a working session with you; code stored in a repo you own so nothing is lost between sessions</t>
  </si>
  <si>
    <t xml:space="preserve">Earlier plan used Gmail SMTP; WR memory notes the Hostinger mailbox is incompatible with Gmail/MS365 connectors</t>
  </si>
  <si>
    <t xml:space="preserve">Portal sends notifications through Hostinger SMTP (noreply@waterregime.com) — standard SMTP works even where connectors do not. Weekly digest via hosting cron</t>
  </si>
  <si>
    <t xml:space="preserve">Assignment</t>
  </si>
  <si>
    <t xml:space="preserve">Assignment by Region+Sector breaks when one group has plants in several regions (Nishat, Lucky, Fatima)</t>
  </si>
  <si>
    <t xml:space="preserve">Owner is set at plant/unit level; group view rolls up for CEO</t>
  </si>
  <si>
    <t xml:space="preserve">Visit Plan</t>
  </si>
  <si>
    <t xml:space="preserve">Existing plan has 'Amended Visit Plan' column — plan-vs-actual was missing in portal design</t>
  </si>
  <si>
    <t xml:space="preserve">Planned visit can be marked Done / Replaced (with replacement company) / Cancelled (reason)</t>
  </si>
  <si>
    <t xml:space="preserve">Company status values inconsistent ('In contact', 'Existing Customer', 'Closed. Sold to Naveena', blank)</t>
  </si>
  <si>
    <t xml:space="preserve">Fixed list: Not yet contacted / In Contact / Active Opportunity / Existing Customer / Dormant / Closed – Not operating</t>
  </si>
  <si>
    <t xml:space="preserve">Data import</t>
  </si>
  <si>
    <t xml:space="preserve">Automatic name-matching joined wrong companies during this build (e.g. Al Rahim Textile received Al-Karam's pipeline; Bahria Town Lahore merged into Karachi; Lucky Electric listed twice)</t>
  </si>
  <si>
    <t xml:space="preserve">Replaced with exact matching + an explicit merge list reviewed by hand. Portal import will use the same rule: no automatic merge without a human check</t>
  </si>
  <si>
    <t xml:space="preserve">Fixed</t>
  </si>
  <si>
    <t xml:space="preserve">Medium</t>
  </si>
  <si>
    <t xml:space="preserve">Simplicity</t>
  </si>
  <si>
    <t xml:space="preserve">Opportunity stages undefined</t>
  </si>
  <si>
    <t xml:space="preserve">Six stages only: Lead → Qualified → Proposal Submitted → Negotiation → Won (PO) → Lost</t>
  </si>
  <si>
    <t xml:space="preserve">Heimtextil (281) and Towel (168) lists are names only — no city, contact or verification</t>
  </si>
  <si>
    <t xml:space="preserve">Kept as WR internal lists; flagged 'field confirmation pending'; reps verify during territory work</t>
  </si>
  <si>
    <t xml:space="preserve">Flagged</t>
  </si>
  <si>
    <t xml:space="preserve">CEO burden</t>
  </si>
  <si>
    <t xml:space="preserve">Digest email + cockpit only — confirmed zero data entry for CEO</t>
  </si>
  <si>
    <t xml:space="preserve">No change</t>
  </si>
  <si>
    <t xml:space="preserve">Confirmed</t>
  </si>
  <si>
    <t xml:space="preserve">Scope</t>
  </si>
  <si>
    <t xml:space="preserve">International markets excluded for now</t>
  </si>
  <si>
    <t xml:space="preserve">Taxonomy and IDs already support country field; add later without rework</t>
  </si>
  <si>
    <t xml:space="preserve">Second-round plan proposed ~92 'new' companies, of which ~80 were already in the lists</t>
  </si>
  <si>
    <t xml:space="preserve">Replaced with source-based research (PSX, Accord, TDAP, Punjab EPD and Sindh EPA EIA registers); every name checked against all WR sheets and visit plans</t>
  </si>
  <si>
    <t xml:space="preserve">Stated that Hoechst Pakistan no longer exists</t>
  </si>
  <si>
    <t xml:space="preserve">Hoechst Pakistan is PSX-listed; it is Sanofi Pakistan under its new name and is already in WR's pharma list</t>
  </si>
  <si>
    <t xml:space="preserve">Hub Leather was removed as unconfirmed</t>
  </si>
  <si>
    <t xml:space="preserve">Confirmed in the Accord list (Jun-2025); re-instated</t>
  </si>
  <si>
    <t xml:space="preserve">'16 new cement plants in Punjab' cited as current</t>
  </si>
  <si>
    <t xml:space="preserve">That report is from 2021; only the April-2026 approval of 7 plants (US$700M) is used</t>
  </si>
  <si>
    <t xml:space="preserve">Nine sectors outside Water Regime's core industrial focus</t>
  </si>
  <si>
    <t xml:space="preserve">Removed: Real Estate, Industrial Zones / SEZs, Municipal, EPC / Partner, Hospitality, Ports / Airports, Education, FMCG Home &amp; Personal Care, FMCG Tobacco</t>
  </si>
  <si>
    <t xml:space="preserve">Done</t>
  </si>
  <si>
    <t xml:space="preserve">Company / name</t>
  </si>
  <si>
    <t xml:space="preserve">Reason</t>
  </si>
  <si>
    <t xml:space="preserve">Type</t>
  </si>
  <si>
    <t xml:space="preserve">Linen Solutions / Hospicare / PureLaundry (industrial laundries)</t>
  </si>
  <si>
    <t xml:space="preserve">Could not confirm these as real operating companies — removed</t>
  </si>
  <si>
    <t xml:space="preserve">Earlier list correction</t>
  </si>
  <si>
    <t xml:space="preserve">Lotte CNG</t>
  </si>
  <si>
    <t xml:space="preserve">No such entity confirmed — removed</t>
  </si>
  <si>
    <t xml:space="preserve">Micro Inks / Zubair Inks</t>
  </si>
  <si>
    <t xml:space="preserve">Not confirmed — removed</t>
  </si>
  <si>
    <t xml:space="preserve">Shezan Pakistan Glass</t>
  </si>
  <si>
    <t xml:space="preserve">Shezan is a juice/food brand, not a glass maker — error, removed</t>
  </si>
  <si>
    <t xml:space="preserve">Shahzad Textile Steel</t>
  </si>
  <si>
    <t xml:space="preserve">Not a confirmed entity — removed</t>
  </si>
  <si>
    <t xml:space="preserve">Pakistan Vegetable Ghee</t>
  </si>
  <si>
    <t xml:space="preserve">Not a confirmed specific company — removed</t>
  </si>
  <si>
    <t xml:space="preserve">Agility Chemicals</t>
  </si>
  <si>
    <t xml:space="preserve">Shaheen Marble / Vision Stone / Khyber Marble / Shahnawaz Group (marble)</t>
  </si>
  <si>
    <t xml:space="preserve">Not confirmed as large marble processors — removed; marble sector kept as cluster (Risalpur / Mardan) for later verification</t>
  </si>
  <si>
    <t xml:space="preserve">Firhaj Footwear / English Leather / Pak Leather Crafts</t>
  </si>
  <si>
    <t xml:space="preserve">Fruity (juice brand)</t>
  </si>
  <si>
    <t xml:space="preserve">Interloop listed under Towel</t>
  </si>
  <si>
    <t xml:space="preserve">Wrong sub-sector — Interloop is hosiery/knitwear/denim; corrected</t>
  </si>
  <si>
    <t xml:space="preserve">Pakistan Aluminum Beverage Cans</t>
  </si>
  <si>
    <t xml:space="preserve">Not added — status to verify in a later batch</t>
  </si>
  <si>
    <t xml:space="preserve">Askari Cement</t>
  </si>
  <si>
    <t xml:space="preserve">Merged into Fauji Cement (2021) — not a separate target</t>
  </si>
  <si>
    <t xml:space="preserve">Fauji Fertilizer Bin Qasim (FFBL) as separate account</t>
  </si>
  <si>
    <t xml:space="preserve">Merged into FFC — treat as FFC unit; verify</t>
  </si>
  <si>
    <t xml:space="preserve">Ghandhara Nissan</t>
  </si>
  <si>
    <t xml:space="preserve">Renamed Ghandhara Automobiles — not added pending verification</t>
  </si>
  <si>
    <t xml:space="preserve">Pakistan Steel Mills as active target</t>
  </si>
  <si>
    <t xml:space="preserve">Dormant since 2015 — kept in master as 'watch only', removed from Top Accounts</t>
  </si>
  <si>
    <t xml:space="preserve">Reko Diq as near-term target</t>
  </si>
  <si>
    <t xml:space="preserve">Construction-phase mega project — long-cycle, partner route only</t>
  </si>
  <si>
    <t xml:space="preserve">QSR chains (McDonald's, KFC, Hardee's) commissary</t>
  </si>
  <si>
    <t xml:space="preserve">Low ticket size — removed from scope</t>
  </si>
  <si>
    <t xml:space="preserve">Day Fresh / Prema / Dairy Omung / Good Milk / Noon Pakistan dairy</t>
  </si>
  <si>
    <t xml:space="preserve">Not added — brands/ownership to verify in a later batch</t>
  </si>
  <si>
    <t xml:space="preserve">Hub Leather (earlier removal)</t>
  </si>
  <si>
    <t xml:space="preserve">Reversed — confirmed in Accord (Jun-2025) and added back</t>
  </si>
  <si>
    <t xml:space="preserve">Correction</t>
  </si>
  <si>
    <t xml:space="preserve">FIEDMC — Allama Iqbal Industrial City / M-3 Industrial City</t>
  </si>
  <si>
    <t xml:space="preserve">Sector 'Industrial Zones &amp; SEZs' removed from scope on 08-Oct-2026</t>
  </si>
  <si>
    <t xml:space="preserve">Out of scope</t>
  </si>
  <si>
    <t xml:space="preserve">Rashakai Special Economic Zone</t>
  </si>
  <si>
    <t xml:space="preserve">Sindh Industrial Trading Estates (SITE) Ltd</t>
  </si>
  <si>
    <t xml:space="preserve">Karachi Water &amp; Sewerage Corporation (KWSC)</t>
  </si>
  <si>
    <t xml:space="preserve">Sector 'Municipal Water &amp; Wastewater' removed from scope on 08-Oct-2026</t>
  </si>
  <si>
    <t xml:space="preserve">WASA Faisalabad</t>
  </si>
  <si>
    <t xml:space="preserve">Defence Housing Authority Karachi</t>
  </si>
  <si>
    <t xml:space="preserve">Sector 'Real Estate &amp; Housing' removed from scope on 08-Oct-2026</t>
  </si>
  <si>
    <t xml:space="preserve">Ravi Urban Development Authority (RUDA)</t>
  </si>
  <si>
    <t xml:space="preserve">Colgate-Palmolive (Pakistan) Ltd</t>
  </si>
  <si>
    <t xml:space="preserve">Sector 'FMCG — Home &amp; Personal Care' removed from scope on 08-Oct-2026</t>
  </si>
  <si>
    <t xml:space="preserve">Reckitt Benckiser Pakistan Ltd</t>
  </si>
  <si>
    <t xml:space="preserve">Bostan Special Economic Zone</t>
  </si>
  <si>
    <t xml:space="preserve">Dhabeji Special Economic Zone</t>
  </si>
  <si>
    <t xml:space="preserve">Hattar Special Economic Zone</t>
  </si>
  <si>
    <t xml:space="preserve">Lasbela Industrial Estates Development Authority (LIEDA) — Hub</t>
  </si>
  <si>
    <t xml:space="preserve">Port Qasim Authority</t>
  </si>
  <si>
    <t xml:space="preserve">Punjab Industrial Estates Development &amp; Management Co (PIEDMC)</t>
  </si>
  <si>
    <t xml:space="preserve">Quaid-e-Azam Apparel Park</t>
  </si>
  <si>
    <t xml:space="preserve">Quaid-e-Azam Business Park</t>
  </si>
  <si>
    <t xml:space="preserve">Sundar Industrial Estate</t>
  </si>
  <si>
    <t xml:space="preserve">Capital Development Authority (CDA) — Water Supply &amp; Sewerage</t>
  </si>
  <si>
    <t xml:space="preserve">Punjab Aab-e-Pak Authority</t>
  </si>
  <si>
    <t xml:space="preserve">WASA Gujranwala</t>
  </si>
  <si>
    <t xml:space="preserve">WASA Lahore</t>
  </si>
  <si>
    <t xml:space="preserve">WASA Multan</t>
  </si>
  <si>
    <t xml:space="preserve">WASA Rawalpindi</t>
  </si>
  <si>
    <t xml:space="preserve">Water &amp; Sanitation Services Peshawar (WSSP)</t>
  </si>
  <si>
    <t xml:space="preserve">Engro Elengy Terminal (Pvt) Ltd</t>
  </si>
  <si>
    <t xml:space="preserve">Sector 'Ports, Airports &amp; Logistics' removed from scope on 08-Oct-2026</t>
  </si>
  <si>
    <t xml:space="preserve">Engro Vopak Terminal Ltd</t>
  </si>
  <si>
    <t xml:space="preserve">Gwadar Port — China Overseas Ports Holding Co Pakistan</t>
  </si>
  <si>
    <t xml:space="preserve">Karachi Port Trust</t>
  </si>
  <si>
    <t xml:space="preserve">Pakistan Airports Authority</t>
  </si>
  <si>
    <t xml:space="preserve">Pakistan GasPort Ltd</t>
  </si>
  <si>
    <t xml:space="preserve">Bahria Town (Karachi)</t>
  </si>
  <si>
    <t xml:space="preserve">Bahria Town (Lahore)</t>
  </si>
  <si>
    <t xml:space="preserve">Bahria Town (Rawalpindi/Islamabad)</t>
  </si>
  <si>
    <t xml:space="preserve">Capital Smart City</t>
  </si>
  <si>
    <t xml:space="preserve">Central Business District Punjab (CBD Punjab)</t>
  </si>
  <si>
    <t xml:space="preserve">Defence Housing Authority Bahawalpur</t>
  </si>
  <si>
    <t xml:space="preserve">Defence Housing Authority Gujranwala</t>
  </si>
  <si>
    <t xml:space="preserve">Defence Housing Authority Islamabad-Rawalpindi</t>
  </si>
  <si>
    <t xml:space="preserve">Defence Housing Authority Lahore</t>
  </si>
  <si>
    <t xml:space="preserve">Defence Housing Authority Multan</t>
  </si>
  <si>
    <t xml:space="preserve">Defence Housing Authority Peshawar</t>
  </si>
  <si>
    <t xml:space="preserve">Emaar DHA Islamabad / Crescent Bay Karachi</t>
  </si>
  <si>
    <t xml:space="preserve">Lake City Holdings (Lahore)</t>
  </si>
  <si>
    <t xml:space="preserve">Ghulam Ishaq Khan Institute (GIKI)</t>
  </si>
  <si>
    <t xml:space="preserve">Sector 'Education &amp; Research Campuses' removed from scope on 08-Oct-2026</t>
  </si>
  <si>
    <t xml:space="preserve">Lahore University of Management Sciences (LUMS)</t>
  </si>
  <si>
    <t xml:space="preserve">National University of Sciences &amp; Technology (NUST)</t>
  </si>
  <si>
    <t xml:space="preserve">University of Agriculture Faisalabad</t>
  </si>
  <si>
    <t xml:space="preserve">University of the Punjab</t>
  </si>
  <si>
    <t xml:space="preserve">Pakistan Tobacco Company Ltd</t>
  </si>
  <si>
    <t xml:space="preserve">Sector 'FMCG — Tobacco' removed from scope on 08-Oct-2026</t>
  </si>
  <si>
    <t xml:space="preserve">Philip Morris (Pakistan) Ltd</t>
  </si>
  <si>
    <t xml:space="preserve">Avari Hotels (Lahore, Karachi)</t>
  </si>
  <si>
    <t xml:space="preserve">Sector 'Hospitality' removed from scope on 08-Oct-2026</t>
  </si>
  <si>
    <t xml:space="preserve">Islamabad Marriott Hotel</t>
  </si>
  <si>
    <t xml:space="preserve">Karachi Marriott Hotel</t>
  </si>
  <si>
    <t xml:space="preserve">Mövenpick Hotel Karachi</t>
  </si>
  <si>
    <t xml:space="preserve">Nishat Hotels &amp; Properties Ltd (Emporium / Nishat hotels)</t>
  </si>
  <si>
    <t xml:space="preserve">Pearl-Continental Hotels (Karachi, Lahore, Rawalpindi, Peshawar, Bhurban)</t>
  </si>
  <si>
    <t xml:space="preserve">Serena Hotels Pakistan (Islamabad, Faisalabad, Quetta, Swat, Gilgit)</t>
  </si>
  <si>
    <t xml:space="preserve">Pipeline / top account in sector 'Real Estate &amp; Housing' — removed from scope</t>
  </si>
  <si>
    <t xml:space="preserve">DHA Karachi</t>
  </si>
  <si>
    <t xml:space="preserve">Pipeline / top account in sector 'Municipal Water &amp; Wastewater' — removed from scope</t>
  </si>
  <si>
    <t xml:space="preserve">FIEDMC (Allama Iqbal Industrial City)</t>
  </si>
  <si>
    <t xml:space="preserve">Pipeline / top account in sector 'Industrial Zones &amp; SEZs' — removed from scope</t>
  </si>
  <si>
    <t xml:space="preserve">Rashakai SEZ</t>
  </si>
  <si>
    <t xml:space="preserve">SITE Ltd (Karachi/Kotri/Nooriabad)</t>
  </si>
  <si>
    <t xml:space="preserve">HMR (Waterfront project — confirm)</t>
  </si>
  <si>
    <t xml:space="preserve">The Court Group</t>
  </si>
  <si>
    <t xml:space="preserve">Item</t>
  </si>
  <si>
    <t xml:space="preserve">Detail</t>
  </si>
  <si>
    <t xml:space="preserve">Purpose</t>
  </si>
  <si>
    <t xml:space="preserve">Single consolidated workbook for Water Regime's Pakistan business development: new target accounts, live project signals, WR's active pipeline, and the full company master.</t>
  </si>
  <si>
    <t xml:space="preserve">Pakistan only. 19 core industrial sectors. Removed from scope: Real Estate &amp; Housing, Industrial Zones &amp; SEZs, Municipal Water &amp; Wastewater, EPC / Consultant, Hospitality, Ports / Airports / Logistics, Education &amp; Research, FMCG Home &amp; Personal Care, FMCG Tobacco.</t>
  </si>
  <si>
    <t xml:space="preserve">What 'new' means</t>
  </si>
  <si>
    <t xml:space="preserve">A new target appears in none of WR's existing industry lists, project pipeline sheets or weekly visit plans. Where a company is a sister unit of a group WR already knows, it stays on the list and the Remarks column says so.</t>
  </si>
  <si>
    <t xml:space="preserve">Verification sources</t>
  </si>
  <si>
    <t xml:space="preserve">Pakistan Stock Exchange sector listings · International Accord factory disclosure reports (Jun-2025 and Jan-2026, with worker counts) · TDAP denim publication · Punjab EPD EIA register (2025–26) · Sindh EPA EIA filings · company filings (e.g. Sakrand Sugar Q3-2026). Each row carries its source link.</t>
  </si>
  <si>
    <t xml:space="preserve">An environmental approval (EIA) filed for a new or extended plant, or a publicly announced new plant. An EIA filing shows intent; it does not guarantee construction.</t>
  </si>
  <si>
    <t xml:space="preserve">1 = largest water footprint and strongest fit, or a live project. 2 = strong industrial prospect. 3 = longer-term.</t>
  </si>
  <si>
    <t xml:space="preserve">Held items</t>
  </si>
  <si>
    <t xml:space="preserve">11 large knitwear exporters are kept at Priority 2 until in-house dyeing is confirmed on first contact. 8 PSX-listed sugar mills need 2025-26 crushing confirmed from their latest filings; some plant locations are marked 'To confirm'.</t>
  </si>
  <si>
    <t xml:space="preserve">What is not claimed</t>
  </si>
  <si>
    <t xml:space="preserve">No names, contacts, phone numbers or figures were invented. Contacts shown come only from WR's own files. Pipeline values are WR's own entries.</t>
  </si>
  <si>
    <t xml:space="preserve">Not used</t>
  </si>
  <si>
    <t xml:space="preserve">Companies whose current status could not be confirmed (e.g. Pak Denim, Al-Ameen Denim, XPertex), dormant units (e.g. Pakistan Steel Mills, Pakistan PVC), units under ~500 workers unless an EIA shows a project, and spinning-only mills (low water use).</t>
  </si>
  <si>
    <t xml:space="preserve">Prepared</t>
  </si>
  <si>
    <t xml:space="preserve">Water Regime (Pvt.) Ltd — Business Development · 08 Oct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</si>
</sst>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\+0;\-0;\—"/>
    <numFmt numFmtId="167" formatCode="\+0%"/>
    <numFmt numFmtId="168" formatCode="\+0"/>
    <numFmt numFmtId="169" formatCode="#,##0;\-#,##0;\-"/>
    <numFmt numFmtId="170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F3D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6F3D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F3D"/>
        <bgColor rgb="FF008080"/>
      </patternFill>
    </fill>
    <fill>
      <patternFill patternType="solid">
        <fgColor rgb="FFE8F2EB"/>
        <bgColor rgb="FFFCE4D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8F2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D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F2EB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.ccement.com/news/content/67531448976165001.html" TargetMode="External"/><Relationship Id="rId2" Type="http://schemas.openxmlformats.org/officeDocument/2006/relationships/hyperlink" Target="https://e.ccement.com/news/content/67531448976165001.html" TargetMode="External"/><Relationship Id="rId3" Type="http://schemas.openxmlformats.org/officeDocument/2006/relationships/hyperlink" Target="https://e.ccement.com/news/content/67531448976165001.html" TargetMode="External"/><Relationship Id="rId4" Type="http://schemas.openxmlformats.org/officeDocument/2006/relationships/hyperlink" Target="https://e.ccement.com/news/content/67531448976165001.html" TargetMode="External"/><Relationship Id="rId5" Type="http://schemas.openxmlformats.org/officeDocument/2006/relationships/hyperlink" Target="https://epd.punjab.gov.pk/eia-reports" TargetMode="External"/><Relationship Id="rId6" Type="http://schemas.openxmlformats.org/officeDocument/2006/relationships/hyperlink" Target="https://epd.punjab.gov.pk/eia-reports" TargetMode="External"/><Relationship Id="rId7" Type="http://schemas.openxmlformats.org/officeDocument/2006/relationships/hyperlink" Target="https://epd.punjab.gov.pk/eia-reports" TargetMode="External"/><Relationship Id="rId8" Type="http://schemas.openxmlformats.org/officeDocument/2006/relationships/hyperlink" Target="https://epa.sindh.gov.pk/files/EPA-Sindh/EIA-IEE/EIA%20CCI%20Greenfield%20Karachi%20Report.pdf" TargetMode="External"/><Relationship Id="rId9" Type="http://schemas.openxmlformats.org/officeDocument/2006/relationships/hyperlink" Target="https://epd.punjab.gov.pk/eia-reports" TargetMode="External"/><Relationship Id="rId10" Type="http://schemas.openxmlformats.org/officeDocument/2006/relationships/hyperlink" Target="https://epd.punjab.gov.pk/system/files/2025%20253.pdf" TargetMode="External"/><Relationship Id="rId11" Type="http://schemas.openxmlformats.org/officeDocument/2006/relationships/hyperlink" Target="https://epd.punjab.gov.pk/eia-reports" TargetMode="External"/><Relationship Id="rId12" Type="http://schemas.openxmlformats.org/officeDocument/2006/relationships/hyperlink" Target="https://epd.punjab.gov.pk/eia-reports" TargetMode="External"/><Relationship Id="rId13" Type="http://schemas.openxmlformats.org/officeDocument/2006/relationships/hyperlink" Target="https://epd.punjab.gov.pk/eia-reports" TargetMode="External"/><Relationship Id="rId14" Type="http://schemas.openxmlformats.org/officeDocument/2006/relationships/hyperlink" Target="https://epd.punjab.gov.pk/eia-reports" TargetMode="External"/><Relationship Id="rId15" Type="http://schemas.openxmlformats.org/officeDocument/2006/relationships/hyperlink" Target="https://epd.punjab.gov.pk/eia-reports" TargetMode="External"/><Relationship Id="rId16" Type="http://schemas.openxmlformats.org/officeDocument/2006/relationships/hyperlink" Target="https://epd.punjab.gov.pk/eia-reports" TargetMode="External"/><Relationship Id="rId17" Type="http://schemas.openxmlformats.org/officeDocument/2006/relationships/hyperlink" Target="https://epd.punjab.gov.pk/eia-reports" TargetMode="External"/><Relationship Id="rId18" Type="http://schemas.openxmlformats.org/officeDocument/2006/relationships/hyperlink" Target="https://epd.punjab.gov.pk/eia-reports" TargetMode="External"/><Relationship Id="rId19" Type="http://schemas.openxmlformats.org/officeDocument/2006/relationships/hyperlink" Target="https://epd.punjab.gov.pk/system/files/2025%20304.pdf" TargetMode="External"/><Relationship Id="rId20" Type="http://schemas.openxmlformats.org/officeDocument/2006/relationships/hyperlink" Target="https://epd.punjab.gov.pk/eia-reports" TargetMode="External"/><Relationship Id="rId21" Type="http://schemas.openxmlformats.org/officeDocument/2006/relationships/hyperlink" Target="https://epd.punjab.gov.pk/eia-reports" TargetMode="External"/><Relationship Id="rId22" Type="http://schemas.openxmlformats.org/officeDocument/2006/relationships/hyperlink" Target="https://tickeranalysts.com/stocks/sector/textile-composite" TargetMode="External"/><Relationship Id="rId23" Type="http://schemas.openxmlformats.org/officeDocument/2006/relationships/hyperlink" Target="https://epd.punjab.gov.pk/system/files/105.%20Beacon%20Impex%20EIA%20for%20extension.pdf" TargetMode="External"/><Relationship Id="rId24" Type="http://schemas.openxmlformats.org/officeDocument/2006/relationships/hyperlink" Target="https://epd.punjab.gov.pk/eia-reports" TargetMode="External"/><Relationship Id="rId25" Type="http://schemas.openxmlformats.org/officeDocument/2006/relationships/hyperlink" Target="https://epd.punjab.gov.pk/system/files/2025%2059.pdf" TargetMode="External"/><Relationship Id="rId26" Type="http://schemas.openxmlformats.org/officeDocument/2006/relationships/hyperlink" Target="https://epd.punjab.gov.pk/system/files/2025%20225.pdf" TargetMode="External"/><Relationship Id="rId27" Type="http://schemas.openxmlformats.org/officeDocument/2006/relationships/hyperlink" Target="https://epd.punjab.gov.pk/system/files/2025%20312.pdf" TargetMode="External"/><Relationship Id="rId28" Type="http://schemas.openxmlformats.org/officeDocument/2006/relationships/hyperlink" Target="https://epd.punjab.gov.pk/system/files/20.%20EIA%20Report%20Tauseef%20Enterprises%2C%20Faisalabad.pdf" TargetMode="External"/><Relationship Id="rId29" Type="http://schemas.openxmlformats.org/officeDocument/2006/relationships/hyperlink" Target="https://tickeranalysts.com/stocks/sector/chemical" TargetMode="External"/><Relationship Id="rId30" Type="http://schemas.openxmlformats.org/officeDocument/2006/relationships/hyperlink" Target="https://tickeranalysts.com/stocks/sector/chemical" TargetMode="External"/><Relationship Id="rId31" Type="http://schemas.openxmlformats.org/officeDocument/2006/relationships/hyperlink" Target="https://tickeranalysts.com/stocks/sector/chemical" TargetMode="External"/><Relationship Id="rId32" Type="http://schemas.openxmlformats.org/officeDocument/2006/relationships/hyperlink" Target="https://tickeranalysts.com/stocks/sector/chemical" TargetMode="External"/><Relationship Id="rId33" Type="http://schemas.openxmlformats.org/officeDocument/2006/relationships/hyperlink" Target="https://tickeranalysts.com/stocks/sector/food-and-personal-care-products" TargetMode="External"/><Relationship Id="rId34" Type="http://schemas.openxmlformats.org/officeDocument/2006/relationships/hyperlink" Target="https://tickeranalysts.com/stocks/sector/food-and-personal-care-products" TargetMode="External"/><Relationship Id="rId35" Type="http://schemas.openxmlformats.org/officeDocument/2006/relationships/hyperlink" Target="https://tickeranalysts.com/stocks/sector/food-and-personal-care-products" TargetMode="External"/><Relationship Id="rId36" Type="http://schemas.openxmlformats.org/officeDocument/2006/relationships/hyperlink" Target="https://tickeranalysts.com/stocks/sector/food-and-personal-care-products" TargetMode="External"/><Relationship Id="rId37" Type="http://schemas.openxmlformats.org/officeDocument/2006/relationships/hyperlink" Target="https://tickeranalysts.com/stocks/sector/sugar-and-allied-industries" TargetMode="External"/><Relationship Id="rId38" Type="http://schemas.openxmlformats.org/officeDocument/2006/relationships/hyperlink" Target="https://tickeranalysts.com/stocks/sector/food-and-personal-care-products" TargetMode="External"/><Relationship Id="rId39" Type="http://schemas.openxmlformats.org/officeDocument/2006/relationships/hyperlink" Target="https://tickeranalysts.com/stocks/sector/glass-and-ceramics" TargetMode="External"/><Relationship Id="rId40" Type="http://schemas.openxmlformats.org/officeDocument/2006/relationships/hyperlink" Target="https://tickeranalysts.com/stocks/sector/glass-and-ceramics" TargetMode="External"/><Relationship Id="rId41" Type="http://schemas.openxmlformats.org/officeDocument/2006/relationships/hyperlink" Target="https://tickeranalysts.com/stocks/sector/glass-and-ceramics" TargetMode="External"/><Relationship Id="rId42" Type="http://schemas.openxmlformats.org/officeDocument/2006/relationships/hyperlink" Target="https://tickeranalysts.com/stocks/sector/glass-and-ceramics" TargetMode="External"/><Relationship Id="rId43" Type="http://schemas.openxmlformats.org/officeDocument/2006/relationships/hyperlink" Target="https://internationalaccord.org/wp-content/uploads/2025/06/250601-list-Factory-Disclosure-Report-Pakistan-June-2025.pdf" TargetMode="External"/><Relationship Id="rId44" Type="http://schemas.openxmlformats.org/officeDocument/2006/relationships/hyperlink" Target="https://simplywall.st/stocks/pk/pharmaceuticals-biotech/market-cap-large" TargetMode="External"/><Relationship Id="rId45" Type="http://schemas.openxmlformats.org/officeDocument/2006/relationships/hyperlink" Target="https://epd.punjab.gov.pk/eia-reports" TargetMode="External"/><Relationship Id="rId46" Type="http://schemas.openxmlformats.org/officeDocument/2006/relationships/hyperlink" Target="https://tickeranalysts.com/stocks/sector/engineering" TargetMode="External"/><Relationship Id="rId47" Type="http://schemas.openxmlformats.org/officeDocument/2006/relationships/hyperlink" Target="https://tickeranalysts.com/stocks/sector/engineering" TargetMode="External"/><Relationship Id="rId48" Type="http://schemas.openxmlformats.org/officeDocument/2006/relationships/hyperlink" Target="https://tickeranalysts.com/stocks/sector/engineering" TargetMode="External"/><Relationship Id="rId49" Type="http://schemas.openxmlformats.org/officeDocument/2006/relationships/hyperlink" Target="https://tickeranalysts.com/stocks/sector/engineering" TargetMode="External"/><Relationship Id="rId50" Type="http://schemas.openxmlformats.org/officeDocument/2006/relationships/hyperlink" Target="https://tickeranalysts.com/stocks/sector/sugar-and-allied-industries" TargetMode="External"/><Relationship Id="rId51" Type="http://schemas.openxmlformats.org/officeDocument/2006/relationships/hyperlink" Target="https://tickeranalysts.com/stocks/sector/sugar-and-allied-industries" TargetMode="External"/><Relationship Id="rId52" Type="http://schemas.openxmlformats.org/officeDocument/2006/relationships/hyperlink" Target="https://tickeranalysts.com/stocks/sector/sugar-and-allied-industries" TargetMode="External"/><Relationship Id="rId53" Type="http://schemas.openxmlformats.org/officeDocument/2006/relationships/hyperlink" Target="https://tickeranalysts.com/stocks/sector/sugar-and-allied-industries" TargetMode="External"/><Relationship Id="rId54" Type="http://schemas.openxmlformats.org/officeDocument/2006/relationships/hyperlink" Target="https://tickeranalysts.com/stocks/sector/sugar-and-allied-industries" TargetMode="External"/><Relationship Id="rId55" Type="http://schemas.openxmlformats.org/officeDocument/2006/relationships/hyperlink" Target="https://tickeranalysts.com/stocks/sector/sugar-and-allied-industries" TargetMode="External"/><Relationship Id="rId56" Type="http://schemas.openxmlformats.org/officeDocument/2006/relationships/hyperlink" Target="https://tickeranalysts.com/stocks/sector/sugar-and-allied-industries" TargetMode="External"/><Relationship Id="rId57" Type="http://schemas.openxmlformats.org/officeDocument/2006/relationships/hyperlink" Target="https://sakrandsugar.com/pdf/SSML-Q3-2026.pdf" TargetMode="External"/><Relationship Id="rId58" Type="http://schemas.openxmlformats.org/officeDocument/2006/relationships/hyperlink" Target="https://tickeranalysts.com/stocks/sector/sugar-and-allied-industries" TargetMode="External"/><Relationship Id="rId59" Type="http://schemas.openxmlformats.org/officeDocument/2006/relationships/hyperlink" Target="https://tickeranalysts.com/stocks/sector/sugar-and-allied-industries" TargetMode="External"/><Relationship Id="rId60" Type="http://schemas.openxmlformats.org/officeDocument/2006/relationships/hyperlink" Target="https://tickeranalysts.com/stocks/sector/sugar-and-allied-industries" TargetMode="External"/><Relationship Id="rId61" Type="http://schemas.openxmlformats.org/officeDocument/2006/relationships/hyperlink" Target="https://internationalaccord.org/wp-content/uploads/2025/06/250601-list-Factory-Disclosure-Report-Pakistan-June-2025.pdf" TargetMode="External"/><Relationship Id="rId62" Type="http://schemas.openxmlformats.org/officeDocument/2006/relationships/hyperlink" Target="https://internationalaccord.org/wp-content/uploads/2026/02/Factory-Disclosure-Report-Pakistan-January-2026-1.pdf" TargetMode="External"/><Relationship Id="rId63" Type="http://schemas.openxmlformats.org/officeDocument/2006/relationships/hyperlink" Target="https://internationalaccord.org/wp-content/uploads/2026/02/Factory-Disclosure-Report-Pakistan-January-2026-1.pdf" TargetMode="External"/><Relationship Id="rId64" Type="http://schemas.openxmlformats.org/officeDocument/2006/relationships/hyperlink" Target="https://internationalaccord.org/wp-content/uploads/2026/02/Factory-Disclosure-Report-Pakistan-January-2026-1.pdf" TargetMode="External"/><Relationship Id="rId65" Type="http://schemas.openxmlformats.org/officeDocument/2006/relationships/hyperlink" Target="https://internationalaccord.org/wp-content/uploads/2026/02/Factory-Disclosure-Report-Pakistan-January-2026-1.pdf" TargetMode="External"/><Relationship Id="rId66" Type="http://schemas.openxmlformats.org/officeDocument/2006/relationships/hyperlink" Target="https://internationalaccord.org/wp-content/uploads/2025/06/250601-list-Factory-Disclosure-Report-Pakistan-June-2025.pdf" TargetMode="External"/><Relationship Id="rId67" Type="http://schemas.openxmlformats.org/officeDocument/2006/relationships/hyperlink" Target="https://internationalaccord.org/wp-content/uploads/2025/06/250601-list-Factory-Disclosure-Report-Pakistan-June-2025.pdf" TargetMode="External"/><Relationship Id="rId68" Type="http://schemas.openxmlformats.org/officeDocument/2006/relationships/hyperlink" Target="https://internationalaccord.org/wp-content/uploads/2025/06/250601-list-Factory-Disclosure-Report-Pakistan-June-2025.pdf" TargetMode="External"/><Relationship Id="rId69" Type="http://schemas.openxmlformats.org/officeDocument/2006/relationships/hyperlink" Target="https://internationalaccord.org/wp-content/uploads/2026/02/Factory-Disclosure-Report-Pakistan-January-2026-1.pdf" TargetMode="External"/><Relationship Id="rId70" Type="http://schemas.openxmlformats.org/officeDocument/2006/relationships/hyperlink" Target="https://internationalaccord.org/wp-content/uploads/2025/06/250601-list-Factory-Disclosure-Report-Pakistan-June-2025.pdf" TargetMode="External"/><Relationship Id="rId71" Type="http://schemas.openxmlformats.org/officeDocument/2006/relationships/hyperlink" Target="https://tickeranalysts.com/stocks/sector/textile-composite" TargetMode="External"/><Relationship Id="rId72" Type="http://schemas.openxmlformats.org/officeDocument/2006/relationships/hyperlink" Target="https://internationalaccord.org/wp-content/uploads/2026/02/Factory-Disclosure-Report-Pakistan-January-2026-1.pdf" TargetMode="External"/><Relationship Id="rId73" Type="http://schemas.openxmlformats.org/officeDocument/2006/relationships/hyperlink" Target="https://internationalaccord.org/wp-content/uploads/2026/02/Factory-Disclosure-Report-Pakistan-January-2026-1.pdf" TargetMode="External"/><Relationship Id="rId74" Type="http://schemas.openxmlformats.org/officeDocument/2006/relationships/hyperlink" Target="https://internationalaccord.org/wp-content/uploads/2026/02/Factory-Disclosure-Report-Pakistan-January-2026-1.pdf" TargetMode="External"/><Relationship Id="rId75" Type="http://schemas.openxmlformats.org/officeDocument/2006/relationships/hyperlink" Target="https://internationalaccord.org/wp-content/uploads/2026/02/Factory-Disclosure-Report-Pakistan-January-2026-1.pdf" TargetMode="External"/><Relationship Id="rId76" Type="http://schemas.openxmlformats.org/officeDocument/2006/relationships/hyperlink" Target="https://internationalaccord.org/wp-content/uploads/2026/02/Factory-Disclosure-Report-Pakistan-January-2026-1.pdf" TargetMode="External"/><Relationship Id="rId77" Type="http://schemas.openxmlformats.org/officeDocument/2006/relationships/hyperlink" Target="https://internationalaccord.org/wp-content/uploads/2026/02/Factory-Disclosure-Report-Pakistan-January-2026-1.pdf" TargetMode="External"/><Relationship Id="rId78" Type="http://schemas.openxmlformats.org/officeDocument/2006/relationships/hyperlink" Target="https://internationalaccord.org/wp-content/uploads/2026/02/Factory-Disclosure-Report-Pakistan-January-2026-1.pdf" TargetMode="External"/><Relationship Id="rId79" Type="http://schemas.openxmlformats.org/officeDocument/2006/relationships/hyperlink" Target="https://internationalaccord.org/wp-content/uploads/2026/02/Factory-Disclosure-Report-Pakistan-January-2026-1.pdf" TargetMode="External"/><Relationship Id="rId80" Type="http://schemas.openxmlformats.org/officeDocument/2006/relationships/hyperlink" Target="https://internationalaccord.org/wp-content/uploads/2026/02/Factory-Disclosure-Report-Pakistan-January-2026-1.pdf" TargetMode="External"/><Relationship Id="rId81" Type="http://schemas.openxmlformats.org/officeDocument/2006/relationships/hyperlink" Target="https://www.lycra.com/it/sourcing-network/us-denim-mills-0" TargetMode="External"/><Relationship Id="rId82" Type="http://schemas.openxmlformats.org/officeDocument/2006/relationships/hyperlink" Target="https://tickeranalysts.com/stocks/sector/textile-weaving" TargetMode="External"/><Relationship Id="rId8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.ccement.com/news/content/67531448976165001.html" TargetMode="External"/><Relationship Id="rId2" Type="http://schemas.openxmlformats.org/officeDocument/2006/relationships/hyperlink" Target="https://e.ccement.com/news/content/67531448976165001.html" TargetMode="External"/><Relationship Id="rId3" Type="http://schemas.openxmlformats.org/officeDocument/2006/relationships/hyperlink" Target="https://e.ccement.com/news/content/67531448976165001.html" TargetMode="External"/><Relationship Id="rId4" Type="http://schemas.openxmlformats.org/officeDocument/2006/relationships/hyperlink" Target="https://e.ccement.com/news/content/67531448976165001.html" TargetMode="External"/><Relationship Id="rId5" Type="http://schemas.openxmlformats.org/officeDocument/2006/relationships/hyperlink" Target="https://epd.punjab.gov.pk/eia-reports" TargetMode="External"/><Relationship Id="rId6" Type="http://schemas.openxmlformats.org/officeDocument/2006/relationships/hyperlink" Target="https://epd.punjab.gov.pk/eia-reports" TargetMode="External"/><Relationship Id="rId7" Type="http://schemas.openxmlformats.org/officeDocument/2006/relationships/hyperlink" Target="https://epd.punjab.gov.pk/eia-reports" TargetMode="External"/><Relationship Id="rId8" Type="http://schemas.openxmlformats.org/officeDocument/2006/relationships/hyperlink" Target="https://epa.sindh.gov.pk/files/EPA-Sindh/EIA-IEE/EIA%20CCI%20Greenfield%20Karachi%20Report.pdf" TargetMode="External"/><Relationship Id="rId9" Type="http://schemas.openxmlformats.org/officeDocument/2006/relationships/hyperlink" Target="https://epd.punjab.gov.pk/eia-reports" TargetMode="External"/><Relationship Id="rId10" Type="http://schemas.openxmlformats.org/officeDocument/2006/relationships/hyperlink" Target="https://epd.punjab.gov.pk/system/files/2025%20253.pdf" TargetMode="External"/><Relationship Id="rId11" Type="http://schemas.openxmlformats.org/officeDocument/2006/relationships/hyperlink" Target="https://epd.punjab.gov.pk/eia-reports" TargetMode="External"/><Relationship Id="rId12" Type="http://schemas.openxmlformats.org/officeDocument/2006/relationships/hyperlink" Target="https://epd.punjab.gov.pk/eia-reports" TargetMode="External"/><Relationship Id="rId13" Type="http://schemas.openxmlformats.org/officeDocument/2006/relationships/hyperlink" Target="https://epd.punjab.gov.pk/eia-reports" TargetMode="External"/><Relationship Id="rId14" Type="http://schemas.openxmlformats.org/officeDocument/2006/relationships/hyperlink" Target="https://epd.punjab.gov.pk/eia-reports" TargetMode="External"/><Relationship Id="rId15" Type="http://schemas.openxmlformats.org/officeDocument/2006/relationships/hyperlink" Target="https://epd.punjab.gov.pk/eia-reports" TargetMode="External"/><Relationship Id="rId16" Type="http://schemas.openxmlformats.org/officeDocument/2006/relationships/hyperlink" Target="https://epd.punjab.gov.pk/eia-reports" TargetMode="External"/><Relationship Id="rId17" Type="http://schemas.openxmlformats.org/officeDocument/2006/relationships/hyperlink" Target="https://epd.punjab.gov.pk/eia-reports" TargetMode="External"/><Relationship Id="rId18" Type="http://schemas.openxmlformats.org/officeDocument/2006/relationships/hyperlink" Target="https://epd.punjab.gov.pk/eia-reports" TargetMode="External"/><Relationship Id="rId19" Type="http://schemas.openxmlformats.org/officeDocument/2006/relationships/hyperlink" Target="https://epd.punjab.gov.pk/system/files/2025%20304.pdf" TargetMode="External"/><Relationship Id="rId20" Type="http://schemas.openxmlformats.org/officeDocument/2006/relationships/hyperlink" Target="https://epd.punjab.gov.pk/eia-reports" TargetMode="External"/><Relationship Id="rId21" Type="http://schemas.openxmlformats.org/officeDocument/2006/relationships/hyperlink" Target="https://epd.punjab.gov.pk/eia-reports" TargetMode="External"/><Relationship Id="rId22" Type="http://schemas.openxmlformats.org/officeDocument/2006/relationships/hyperlink" Target="https://epd.punjab.gov.pk/system/files/105.%20Beacon%20Impex%20EIA%20for%20extension.pdf" TargetMode="External"/><Relationship Id="rId23" Type="http://schemas.openxmlformats.org/officeDocument/2006/relationships/hyperlink" Target="https://epd.punjab.gov.pk/eia-reports" TargetMode="External"/><Relationship Id="rId24" Type="http://schemas.openxmlformats.org/officeDocument/2006/relationships/hyperlink" Target="https://epd.punjab.gov.pk/system/files/2025%2059.pdf" TargetMode="External"/><Relationship Id="rId25" Type="http://schemas.openxmlformats.org/officeDocument/2006/relationships/hyperlink" Target="https://epd.punjab.gov.pk/system/files/2025%20225.pdf" TargetMode="External"/><Relationship Id="rId26" Type="http://schemas.openxmlformats.org/officeDocument/2006/relationships/hyperlink" Target="https://epd.punjab.gov.pk/system/files/2025%20312.pdf" TargetMode="External"/><Relationship Id="rId27" Type="http://schemas.openxmlformats.org/officeDocument/2006/relationships/hyperlink" Target="https://epd.punjab.gov.pk/system/files/20.%20EIA%20Report%20Tauseef%20Enterprises%2C%20Faisalabad.pdf" TargetMode="External"/><Relationship Id="rId28" Type="http://schemas.openxmlformats.org/officeDocument/2006/relationships/hyperlink" Target="https://epd.punjab.gov.pk/system/files/2025%20271.pdf" TargetMode="External"/><Relationship Id="rId29" Type="http://schemas.openxmlformats.org/officeDocument/2006/relationships/hyperlink" Target="https://www.arabnews.com/node/2645462/amp" TargetMode="External"/><Relationship Id="rId30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34"/>
    <col collapsed="false" customWidth="true" hidden="false" outlineLevel="0" max="6" min="5" style="0" width="10"/>
    <col collapsed="false" customWidth="true" hidden="false" outlineLevel="0" max="8" min="7" style="0" width="3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D5" s="4" t="s">
        <v>5</v>
      </c>
      <c r="E5" s="4" t="s">
        <v>4</v>
      </c>
      <c r="F5" s="4" t="s">
        <v>6</v>
      </c>
    </row>
    <row r="6" customFormat="false" ht="15" hidden="false" customHeight="false" outlineLevel="0" collapsed="false">
      <c r="A6" s="5" t="s">
        <v>7</v>
      </c>
      <c r="B6" s="6" t="n">
        <f aca="false">COUNTIF('New Target Accounts'!$K$2:$K$300,1)</f>
        <v>66</v>
      </c>
      <c r="D6" s="5" t="s">
        <v>8</v>
      </c>
      <c r="E6" s="6" t="n">
        <f aca="false">COUNTIF('New Target Accounts'!$D$2:$D$300,D6)</f>
        <v>52</v>
      </c>
      <c r="F6" s="7" t="n">
        <f aca="false">COUNTIFS('New Target Accounts'!$D$2:$D$300,D6,'New Target Accounts'!$P$2:$P$300,"Added 08-Oct-2026")</f>
        <v>29</v>
      </c>
    </row>
    <row r="7" customFormat="false" ht="15" hidden="false" customHeight="false" outlineLevel="0" collapsed="false">
      <c r="A7" s="5" t="s">
        <v>9</v>
      </c>
      <c r="B7" s="6" t="n">
        <f aca="false">COUNTIF('New Target Accounts'!$K$2:$K$300,2)</f>
        <v>224</v>
      </c>
      <c r="D7" s="5" t="s">
        <v>10</v>
      </c>
      <c r="E7" s="6" t="n">
        <f aca="false">COUNTIF('New Target Accounts'!$D$2:$D$300,D7)</f>
        <v>37</v>
      </c>
      <c r="F7" s="7" t="n">
        <f aca="false">COUNTIFS('New Target Accounts'!$D$2:$D$300,D7,'New Target Accounts'!$P$2:$P$300,"Added 08-Oct-2026")</f>
        <v>7</v>
      </c>
    </row>
    <row r="8" customFormat="false" ht="15" hidden="false" customHeight="false" outlineLevel="0" collapsed="false">
      <c r="A8" s="5" t="s">
        <v>11</v>
      </c>
      <c r="B8" s="6" t="n">
        <f aca="false">COUNTIF('New Target Accounts'!$K$2:$K$300,3)</f>
        <v>9</v>
      </c>
      <c r="D8" s="5" t="s">
        <v>12</v>
      </c>
      <c r="E8" s="6" t="n">
        <f aca="false">COUNTIF('New Target Accounts'!$D$2:$D$300,D8)</f>
        <v>36</v>
      </c>
      <c r="F8" s="7" t="n">
        <f aca="false">COUNTIFS('New Target Accounts'!$D$2:$D$300,D8,'New Target Accounts'!$P$2:$P$300,"Added 08-Oct-2026")</f>
        <v>10</v>
      </c>
    </row>
    <row r="9" customFormat="false" ht="15" hidden="false" customHeight="false" outlineLevel="0" collapsed="false">
      <c r="A9" s="8" t="s">
        <v>13</v>
      </c>
      <c r="B9" s="9" t="n">
        <f aca="false">SUM(B6:B8)</f>
        <v>299</v>
      </c>
      <c r="D9" s="5" t="s">
        <v>14</v>
      </c>
      <c r="E9" s="6" t="n">
        <f aca="false">COUNTIF('New Target Accounts'!$D$2:$D$300,D9)</f>
        <v>29</v>
      </c>
      <c r="F9" s="7" t="n">
        <f aca="false">COUNTIFS('New Target Accounts'!$D$2:$D$300,D9,'New Target Accounts'!$P$2:$P$300,"Added 08-Oct-2026")</f>
        <v>11</v>
      </c>
    </row>
    <row r="10" customFormat="false" ht="15" hidden="false" customHeight="false" outlineLevel="0" collapsed="false">
      <c r="D10" s="5" t="s">
        <v>15</v>
      </c>
      <c r="E10" s="6" t="n">
        <f aca="false">COUNTIF('New Target Accounts'!$D$2:$D$300,D10)</f>
        <v>24</v>
      </c>
      <c r="F10" s="7" t="n">
        <f aca="false">COUNTIFS('New Target Accounts'!$D$2:$D$300,D10,'New Target Accounts'!$P$2:$P$300,"Added 08-Oct-2026")</f>
        <v>1</v>
      </c>
    </row>
    <row r="11" customFormat="false" ht="15" hidden="false" customHeight="false" outlineLevel="0" collapsed="false">
      <c r="A11" s="4" t="s">
        <v>16</v>
      </c>
      <c r="B11" s="4" t="s">
        <v>4</v>
      </c>
      <c r="D11" s="5" t="s">
        <v>17</v>
      </c>
      <c r="E11" s="6" t="n">
        <f aca="false">COUNTIF('New Target Accounts'!$D$2:$D$300,D11)</f>
        <v>20</v>
      </c>
      <c r="F11" s="7" t="n">
        <f aca="false">COUNTIFS('New Target Accounts'!$D$2:$D$300,D11,'New Target Accounts'!$P$2:$P$300,"Added 08-Oct-2026")</f>
        <v>6</v>
      </c>
    </row>
    <row r="12" customFormat="false" ht="15" hidden="false" customHeight="false" outlineLevel="0" collapsed="false">
      <c r="A12" s="5" t="s">
        <v>18</v>
      </c>
      <c r="B12" s="6" t="n">
        <f aca="false">COUNTIF('New Target Accounts'!$L$2:$L$300,"Live project signal")</f>
        <v>28</v>
      </c>
      <c r="D12" s="5" t="s">
        <v>19</v>
      </c>
      <c r="E12" s="6" t="n">
        <f aca="false">COUNTIF('New Target Accounts'!$D$2:$D$300,D12)</f>
        <v>15</v>
      </c>
      <c r="F12" s="7" t="n">
        <f aca="false">COUNTIFS('New Target Accounts'!$D$2:$D$300,D12,'New Target Accounts'!$P$2:$P$300,"Added 08-Oct-2026")</f>
        <v>4</v>
      </c>
    </row>
    <row r="13" customFormat="false" ht="15" hidden="false" customHeight="false" outlineLevel="0" collapsed="false">
      <c r="A13" s="5" t="s">
        <v>20</v>
      </c>
      <c r="B13" s="6" t="n">
        <f aca="false">COUNTIF('New Target Accounts'!$L$2:$L$300,"Established operator")</f>
        <v>271</v>
      </c>
      <c r="D13" s="5" t="s">
        <v>21</v>
      </c>
      <c r="E13" s="6" t="n">
        <f aca="false">COUNTIF('New Target Accounts'!$D$2:$D$300,D13)</f>
        <v>13</v>
      </c>
      <c r="F13" s="7" t="n">
        <f aca="false">COUNTIFS('New Target Accounts'!$D$2:$D$300,D13,'New Target Accounts'!$P$2:$P$300,"Added 08-Oct-2026")</f>
        <v>4</v>
      </c>
    </row>
    <row r="14" customFormat="false" ht="15" hidden="false" customHeight="false" outlineLevel="0" collapsed="false">
      <c r="A14" s="8" t="s">
        <v>13</v>
      </c>
      <c r="B14" s="9" t="n">
        <f aca="false">SUM(B12:B13)</f>
        <v>299</v>
      </c>
      <c r="D14" s="5" t="s">
        <v>22</v>
      </c>
      <c r="E14" s="6" t="n">
        <f aca="false">COUNTIF('New Target Accounts'!$D$2:$D$300,D14)</f>
        <v>13</v>
      </c>
      <c r="F14" s="7" t="n">
        <f aca="false">COUNTIFS('New Target Accounts'!$D$2:$D$300,D14,'New Target Accounts'!$P$2:$P$300,"Added 08-Oct-2026")</f>
        <v>5</v>
      </c>
    </row>
    <row r="15" customFormat="false" ht="15" hidden="false" customHeight="false" outlineLevel="0" collapsed="false">
      <c r="D15" s="5" t="s">
        <v>23</v>
      </c>
      <c r="E15" s="6" t="n">
        <f aca="false">COUNTIF('New Target Accounts'!$D$2:$D$300,D15)</f>
        <v>10</v>
      </c>
      <c r="F15" s="7" t="n">
        <f aca="false">COUNTIFS('New Target Accounts'!$D$2:$D$300,D15,'New Target Accounts'!$P$2:$P$300,"Added 08-Oct-2026")</f>
        <v>5</v>
      </c>
    </row>
    <row r="16" customFormat="false" ht="15" hidden="false" customHeight="false" outlineLevel="0" collapsed="false">
      <c r="A16" s="4" t="s">
        <v>24</v>
      </c>
      <c r="B16" s="4" t="s">
        <v>4</v>
      </c>
      <c r="D16" s="5" t="s">
        <v>25</v>
      </c>
      <c r="E16" s="6" t="n">
        <f aca="false">COUNTIF('New Target Accounts'!$D$2:$D$300,D16)</f>
        <v>9</v>
      </c>
      <c r="F16" s="7" t="n">
        <f aca="false">COUNTIFS('New Target Accounts'!$D$2:$D$300,D16,'New Target Accounts'!$P$2:$P$300,"Added 08-Oct-2026")</f>
        <v>2</v>
      </c>
    </row>
    <row r="17" customFormat="false" ht="15" hidden="false" customHeight="false" outlineLevel="0" collapsed="false">
      <c r="A17" s="5" t="s">
        <v>26</v>
      </c>
      <c r="B17" s="6" t="n">
        <f aca="false">COUNTIF('New Target Accounts'!$P$2:$P$300,"Original list")</f>
        <v>213</v>
      </c>
      <c r="D17" s="5" t="s">
        <v>27</v>
      </c>
      <c r="E17" s="6" t="n">
        <f aca="false">COUNTIF('New Target Accounts'!$D$2:$D$300,D17)</f>
        <v>9</v>
      </c>
      <c r="F17" s="7" t="n">
        <f aca="false">COUNTIFS('New Target Accounts'!$D$2:$D$300,D17,'New Target Accounts'!$P$2:$P$300,"Added 08-Oct-2026")</f>
        <v>0</v>
      </c>
    </row>
    <row r="18" customFormat="false" ht="15" hidden="false" customHeight="false" outlineLevel="0" collapsed="false">
      <c r="A18" s="5" t="s">
        <v>28</v>
      </c>
      <c r="B18" s="6" t="n">
        <f aca="false">COUNTIF('New Target Accounts'!$P$2:$P$300,"Added 08-Oct-2026")</f>
        <v>86</v>
      </c>
      <c r="D18" s="5" t="s">
        <v>29</v>
      </c>
      <c r="E18" s="6" t="n">
        <f aca="false">COUNTIF('New Target Accounts'!$D$2:$D$300,D18)</f>
        <v>8</v>
      </c>
      <c r="F18" s="7" t="n">
        <f aca="false">COUNTIFS('New Target Accounts'!$D$2:$D$300,D18,'New Target Accounts'!$P$2:$P$300,"Added 08-Oct-2026")</f>
        <v>0</v>
      </c>
    </row>
    <row r="19" customFormat="false" ht="15" hidden="false" customHeight="false" outlineLevel="0" collapsed="false">
      <c r="A19" s="5" t="s">
        <v>30</v>
      </c>
      <c r="B19" s="10" t="n">
        <f aca="false">COUNTIF('New Target Accounts'!$D$2:$D$300,"Textile")/COUNTIFS('New Target Accounts'!$D$2:$D$300,"Textile",'New Target Accounts'!$P$2:$P$300,"Original list")-1</f>
        <v>1.26086956521739</v>
      </c>
      <c r="D19" s="5" t="s">
        <v>31</v>
      </c>
      <c r="E19" s="6" t="n">
        <f aca="false">COUNTIF('New Target Accounts'!$D$2:$D$300,D19)</f>
        <v>7</v>
      </c>
      <c r="F19" s="7" t="n">
        <f aca="false">COUNTIFS('New Target Accounts'!$D$2:$D$300,D19,'New Target Accounts'!$P$2:$P$300,"Added 08-Oct-2026")</f>
        <v>2</v>
      </c>
    </row>
    <row r="20" customFormat="false" ht="15" hidden="false" customHeight="false" outlineLevel="0" collapsed="false">
      <c r="D20" s="5" t="s">
        <v>32</v>
      </c>
      <c r="E20" s="6" t="n">
        <f aca="false">COUNTIF('New Target Accounts'!$D$2:$D$300,D20)</f>
        <v>5</v>
      </c>
      <c r="F20" s="7" t="n">
        <f aca="false">COUNTIFS('New Target Accounts'!$D$2:$D$300,D20,'New Target Accounts'!$P$2:$P$300,"Added 08-Oct-2026")</f>
        <v>0</v>
      </c>
    </row>
    <row r="21" customFormat="false" ht="15" hidden="false" customHeight="false" outlineLevel="0" collapsed="false">
      <c r="A21" s="4" t="s">
        <v>33</v>
      </c>
      <c r="B21" s="4" t="s">
        <v>34</v>
      </c>
      <c r="D21" s="5" t="s">
        <v>35</v>
      </c>
      <c r="E21" s="6" t="n">
        <f aca="false">COUNTIF('New Target Accounts'!$D$2:$D$300,D21)</f>
        <v>4</v>
      </c>
      <c r="F21" s="7" t="n">
        <f aca="false">COUNTIFS('New Target Accounts'!$D$2:$D$300,D21,'New Target Accounts'!$P$2:$P$300,"Added 08-Oct-2026")</f>
        <v>0</v>
      </c>
    </row>
    <row r="22" customFormat="false" ht="15" hidden="false" customHeight="false" outlineLevel="0" collapsed="false">
      <c r="A22" s="5" t="s">
        <v>36</v>
      </c>
      <c r="B22" s="6" t="n">
        <f aca="false">COUNTA('Live Project Signals'!A2:A31)</f>
        <v>30</v>
      </c>
      <c r="D22" s="5" t="s">
        <v>37</v>
      </c>
      <c r="E22" s="6" t="n">
        <f aca="false">COUNTIF('New Target Accounts'!$D$2:$D$300,D22)</f>
        <v>4</v>
      </c>
      <c r="F22" s="7" t="n">
        <f aca="false">COUNTIFS('New Target Accounts'!$D$2:$D$300,D22,'New Target Accounts'!$P$2:$P$300,"Added 08-Oct-2026")</f>
        <v>0</v>
      </c>
    </row>
    <row r="23" customFormat="false" ht="15" hidden="false" customHeight="false" outlineLevel="0" collapsed="false">
      <c r="A23" s="5" t="s">
        <v>38</v>
      </c>
      <c r="B23" s="6" t="n">
        <f aca="false">COUNTA('WR Active Pipeline'!B2:B34)</f>
        <v>33</v>
      </c>
      <c r="D23" s="5" t="s">
        <v>39</v>
      </c>
      <c r="E23" s="6" t="n">
        <f aca="false">COUNTIF('New Target Accounts'!$D$2:$D$300,D23)</f>
        <v>2</v>
      </c>
      <c r="F23" s="7" t="n">
        <f aca="false">COUNTIFS('New Target Accounts'!$D$2:$D$300,D23,'New Target Accounts'!$P$2:$P$300,"Added 08-Oct-2026")</f>
        <v>0</v>
      </c>
    </row>
    <row r="24" customFormat="false" ht="15" hidden="false" customHeight="false" outlineLevel="0" collapsed="false">
      <c r="A24" s="5" t="s">
        <v>40</v>
      </c>
      <c r="B24" s="6" t="n">
        <f aca="false">COUNTA('Master Companies'!B2:B923)</f>
        <v>922</v>
      </c>
      <c r="D24" s="5" t="s">
        <v>41</v>
      </c>
      <c r="E24" s="6" t="n">
        <f aca="false">COUNTIF('New Target Accounts'!$D$2:$D$300,D24)</f>
        <v>2</v>
      </c>
      <c r="F24" s="7" t="n">
        <f aca="false">COUNTIFS('New Target Accounts'!$D$2:$D$300,D24,'New Target Accounts'!$P$2:$P$300,"Added 08-Oct-2026")</f>
        <v>0</v>
      </c>
    </row>
    <row r="25" customFormat="false" ht="15" hidden="false" customHeight="false" outlineLevel="0" collapsed="false">
      <c r="D25" s="8" t="s">
        <v>13</v>
      </c>
      <c r="E25" s="9" t="n">
        <f aca="false">SUM(E6:E24)</f>
        <v>299</v>
      </c>
      <c r="F25" s="11" t="n">
        <f aca="false">SUM(F6:F24)</f>
        <v>86</v>
      </c>
    </row>
    <row r="27" customFormat="false" ht="15" hidden="false" customHeight="false" outlineLevel="0" collapsed="false">
      <c r="D27" s="12" t="s">
        <v>42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28"/>
    <col collapsed="false" customWidth="true" hidden="false" outlineLevel="0" max="10" min="10" style="0" width="30"/>
    <col collapsed="false" customWidth="true" hidden="false" outlineLevel="0" max="11" min="11" style="0" width="8"/>
    <col collapsed="false" customWidth="true" hidden="false" outlineLevel="0" max="12" min="12" style="0" width="16"/>
    <col collapsed="false" customWidth="true" hidden="false" outlineLevel="0" max="13" min="13" style="0" width="40"/>
    <col collapsed="false" customWidth="true" hidden="false" outlineLevel="0" max="15" min="14" style="0" width="30"/>
    <col collapsed="false" customWidth="true" hidden="false" outlineLevel="0" max="16" min="16" style="0" width="15"/>
    <col collapsed="false" customWidth="true" hidden="false" outlineLevel="0" max="17" min="17" style="0" width="40"/>
  </cols>
  <sheetData>
    <row r="1" customFormat="false" ht="33.75" hidden="false" customHeight="true" outlineLevel="0" collapsed="false">
      <c r="A1" s="13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52</v>
      </c>
      <c r="K1" s="13" t="s">
        <v>53</v>
      </c>
      <c r="L1" s="13" t="s">
        <v>16</v>
      </c>
      <c r="M1" s="13" t="s">
        <v>54</v>
      </c>
      <c r="N1" s="13" t="s">
        <v>55</v>
      </c>
      <c r="O1" s="13" t="s">
        <v>56</v>
      </c>
      <c r="P1" s="13" t="s">
        <v>57</v>
      </c>
      <c r="Q1" s="13" t="s">
        <v>58</v>
      </c>
    </row>
    <row r="2" customFormat="false" ht="22.35" hidden="false" customHeight="false" outlineLevel="0" collapsed="false">
      <c r="A2" s="14" t="n">
        <v>1</v>
      </c>
      <c r="B2" s="14" t="s">
        <v>59</v>
      </c>
      <c r="C2" s="14" t="s">
        <v>60</v>
      </c>
      <c r="D2" s="14" t="s">
        <v>19</v>
      </c>
      <c r="E2" s="14" t="s">
        <v>61</v>
      </c>
      <c r="F2" s="14" t="s">
        <v>62</v>
      </c>
      <c r="G2" s="14" t="s">
        <v>63</v>
      </c>
      <c r="H2" s="14" t="s">
        <v>64</v>
      </c>
      <c r="I2" s="14" t="s">
        <v>65</v>
      </c>
      <c r="J2" s="14" t="s">
        <v>66</v>
      </c>
      <c r="K2" s="15" t="n">
        <v>1</v>
      </c>
      <c r="L2" s="14" t="s">
        <v>67</v>
      </c>
      <c r="M2" s="14" t="s">
        <v>68</v>
      </c>
      <c r="N2" s="14" t="s">
        <v>69</v>
      </c>
      <c r="O2" s="14" t="s">
        <v>70</v>
      </c>
      <c r="P2" s="14" t="s">
        <v>71</v>
      </c>
      <c r="Q2" s="14" t="s">
        <v>72</v>
      </c>
    </row>
    <row r="3" customFormat="false" ht="22.35" hidden="false" customHeight="false" outlineLevel="0" collapsed="false">
      <c r="A3" s="14" t="n">
        <v>2</v>
      </c>
      <c r="B3" s="14" t="s">
        <v>73</v>
      </c>
      <c r="C3" s="14" t="s">
        <v>74</v>
      </c>
      <c r="D3" s="14" t="s">
        <v>19</v>
      </c>
      <c r="E3" s="14" t="s">
        <v>75</v>
      </c>
      <c r="F3" s="14" t="s">
        <v>76</v>
      </c>
      <c r="G3" s="14" t="s">
        <v>77</v>
      </c>
      <c r="H3" s="14" t="s">
        <v>78</v>
      </c>
      <c r="I3" s="14" t="s">
        <v>79</v>
      </c>
      <c r="J3" s="14" t="s">
        <v>66</v>
      </c>
      <c r="K3" s="15" t="n">
        <v>1</v>
      </c>
      <c r="L3" s="14" t="s">
        <v>67</v>
      </c>
      <c r="M3" s="14" t="s">
        <v>68</v>
      </c>
      <c r="N3" s="14" t="s">
        <v>80</v>
      </c>
      <c r="O3" s="14"/>
      <c r="P3" s="14" t="s">
        <v>71</v>
      </c>
      <c r="Q3" s="14" t="s">
        <v>72</v>
      </c>
    </row>
    <row r="4" customFormat="false" ht="22.35" hidden="false" customHeight="false" outlineLevel="0" collapsed="false">
      <c r="A4" s="14" t="n">
        <v>3</v>
      </c>
      <c r="B4" s="14" t="s">
        <v>81</v>
      </c>
      <c r="C4" s="14"/>
      <c r="D4" s="14" t="s">
        <v>21</v>
      </c>
      <c r="E4" s="14" t="s">
        <v>82</v>
      </c>
      <c r="F4" s="14" t="s">
        <v>83</v>
      </c>
      <c r="G4" s="14" t="s">
        <v>63</v>
      </c>
      <c r="H4" s="14" t="s">
        <v>84</v>
      </c>
      <c r="I4" s="14" t="s">
        <v>85</v>
      </c>
      <c r="J4" s="14" t="s">
        <v>86</v>
      </c>
      <c r="K4" s="15" t="n">
        <v>1</v>
      </c>
      <c r="L4" s="14" t="s">
        <v>87</v>
      </c>
      <c r="M4" s="14" t="s">
        <v>88</v>
      </c>
      <c r="N4" s="14" t="s">
        <v>89</v>
      </c>
      <c r="O4" s="14"/>
      <c r="P4" s="14" t="s">
        <v>90</v>
      </c>
      <c r="Q4" s="16" t="s">
        <v>91</v>
      </c>
    </row>
    <row r="5" customFormat="false" ht="22.35" hidden="false" customHeight="false" outlineLevel="0" collapsed="false">
      <c r="A5" s="14" t="n">
        <v>4</v>
      </c>
      <c r="B5" s="14" t="s">
        <v>92</v>
      </c>
      <c r="C5" s="14" t="s">
        <v>93</v>
      </c>
      <c r="D5" s="14" t="s">
        <v>21</v>
      </c>
      <c r="E5" s="14" t="s">
        <v>94</v>
      </c>
      <c r="F5" s="14" t="s">
        <v>95</v>
      </c>
      <c r="G5" s="14" t="s">
        <v>63</v>
      </c>
      <c r="H5" s="14" t="s">
        <v>96</v>
      </c>
      <c r="I5" s="14" t="s">
        <v>97</v>
      </c>
      <c r="J5" s="14" t="s">
        <v>86</v>
      </c>
      <c r="K5" s="15" t="n">
        <v>1</v>
      </c>
      <c r="L5" s="14" t="s">
        <v>67</v>
      </c>
      <c r="M5" s="14" t="s">
        <v>68</v>
      </c>
      <c r="N5" s="14" t="s">
        <v>69</v>
      </c>
      <c r="O5" s="14"/>
      <c r="P5" s="14" t="s">
        <v>71</v>
      </c>
      <c r="Q5" s="14" t="s">
        <v>72</v>
      </c>
    </row>
    <row r="6" customFormat="false" ht="22.35" hidden="false" customHeight="false" outlineLevel="0" collapsed="false">
      <c r="A6" s="14" t="n">
        <v>5</v>
      </c>
      <c r="B6" s="14" t="s">
        <v>98</v>
      </c>
      <c r="C6" s="14"/>
      <c r="D6" s="14" t="s">
        <v>21</v>
      </c>
      <c r="E6" s="14" t="s">
        <v>82</v>
      </c>
      <c r="F6" s="14" t="s">
        <v>83</v>
      </c>
      <c r="G6" s="14" t="s">
        <v>63</v>
      </c>
      <c r="H6" s="14" t="s">
        <v>84</v>
      </c>
      <c r="I6" s="14" t="s">
        <v>85</v>
      </c>
      <c r="J6" s="14" t="s">
        <v>86</v>
      </c>
      <c r="K6" s="15" t="n">
        <v>1</v>
      </c>
      <c r="L6" s="14" t="s">
        <v>87</v>
      </c>
      <c r="M6" s="14" t="s">
        <v>88</v>
      </c>
      <c r="N6" s="14" t="s">
        <v>89</v>
      </c>
      <c r="O6" s="14"/>
      <c r="P6" s="14" t="s">
        <v>90</v>
      </c>
      <c r="Q6" s="16" t="s">
        <v>91</v>
      </c>
    </row>
    <row r="7" customFormat="false" ht="22.35" hidden="false" customHeight="false" outlineLevel="0" collapsed="false">
      <c r="A7" s="14" t="n">
        <v>6</v>
      </c>
      <c r="B7" s="14" t="s">
        <v>99</v>
      </c>
      <c r="C7" s="14"/>
      <c r="D7" s="14" t="s">
        <v>21</v>
      </c>
      <c r="E7" s="14" t="s">
        <v>100</v>
      </c>
      <c r="F7" s="14" t="s">
        <v>101</v>
      </c>
      <c r="G7" s="14" t="s">
        <v>63</v>
      </c>
      <c r="H7" s="14" t="s">
        <v>102</v>
      </c>
      <c r="I7" s="14" t="s">
        <v>85</v>
      </c>
      <c r="J7" s="14" t="s">
        <v>86</v>
      </c>
      <c r="K7" s="15" t="n">
        <v>1</v>
      </c>
      <c r="L7" s="14" t="s">
        <v>87</v>
      </c>
      <c r="M7" s="14" t="s">
        <v>88</v>
      </c>
      <c r="N7" s="14" t="s">
        <v>89</v>
      </c>
      <c r="O7" s="14"/>
      <c r="P7" s="14" t="s">
        <v>90</v>
      </c>
      <c r="Q7" s="16" t="s">
        <v>91</v>
      </c>
    </row>
    <row r="8" customFormat="false" ht="22.35" hidden="false" customHeight="false" outlineLevel="0" collapsed="false">
      <c r="A8" s="14" t="n">
        <v>7</v>
      </c>
      <c r="B8" s="14" t="s">
        <v>103</v>
      </c>
      <c r="C8" s="14" t="s">
        <v>104</v>
      </c>
      <c r="D8" s="14" t="s">
        <v>21</v>
      </c>
      <c r="E8" s="14" t="s">
        <v>94</v>
      </c>
      <c r="F8" s="14" t="s">
        <v>105</v>
      </c>
      <c r="G8" s="14" t="s">
        <v>63</v>
      </c>
      <c r="H8" s="14" t="s">
        <v>106</v>
      </c>
      <c r="I8" s="14" t="s">
        <v>107</v>
      </c>
      <c r="J8" s="14" t="s">
        <v>108</v>
      </c>
      <c r="K8" s="15" t="n">
        <v>1</v>
      </c>
      <c r="L8" s="14" t="s">
        <v>67</v>
      </c>
      <c r="M8" s="14" t="s">
        <v>68</v>
      </c>
      <c r="N8" s="14" t="s">
        <v>69</v>
      </c>
      <c r="O8" s="14"/>
      <c r="P8" s="14" t="s">
        <v>71</v>
      </c>
      <c r="Q8" s="14" t="s">
        <v>72</v>
      </c>
    </row>
    <row r="9" customFormat="false" ht="22.35" hidden="false" customHeight="false" outlineLevel="0" collapsed="false">
      <c r="A9" s="14" t="n">
        <v>8</v>
      </c>
      <c r="B9" s="14" t="s">
        <v>109</v>
      </c>
      <c r="C9" s="14" t="s">
        <v>110</v>
      </c>
      <c r="D9" s="14" t="s">
        <v>21</v>
      </c>
      <c r="E9" s="14" t="s">
        <v>21</v>
      </c>
      <c r="F9" s="14" t="s">
        <v>111</v>
      </c>
      <c r="G9" s="14" t="s">
        <v>63</v>
      </c>
      <c r="H9" s="14" t="s">
        <v>112</v>
      </c>
      <c r="I9" s="14" t="s">
        <v>107</v>
      </c>
      <c r="J9" s="14" t="s">
        <v>108</v>
      </c>
      <c r="K9" s="15" t="n">
        <v>1</v>
      </c>
      <c r="L9" s="14" t="s">
        <v>67</v>
      </c>
      <c r="M9" s="14" t="s">
        <v>68</v>
      </c>
      <c r="N9" s="14" t="s">
        <v>69</v>
      </c>
      <c r="O9" s="14"/>
      <c r="P9" s="14" t="s">
        <v>71</v>
      </c>
      <c r="Q9" s="14" t="s">
        <v>72</v>
      </c>
    </row>
    <row r="10" customFormat="false" ht="22.35" hidden="false" customHeight="false" outlineLevel="0" collapsed="false">
      <c r="A10" s="14" t="n">
        <v>9</v>
      </c>
      <c r="B10" s="14" t="s">
        <v>113</v>
      </c>
      <c r="C10" s="14"/>
      <c r="D10" s="14" t="s">
        <v>21</v>
      </c>
      <c r="E10" s="14" t="s">
        <v>82</v>
      </c>
      <c r="F10" s="14" t="s">
        <v>83</v>
      </c>
      <c r="G10" s="14" t="s">
        <v>63</v>
      </c>
      <c r="H10" s="14" t="s">
        <v>84</v>
      </c>
      <c r="I10" s="14" t="s">
        <v>85</v>
      </c>
      <c r="J10" s="14" t="s">
        <v>86</v>
      </c>
      <c r="K10" s="15" t="n">
        <v>1</v>
      </c>
      <c r="L10" s="14" t="s">
        <v>87</v>
      </c>
      <c r="M10" s="14" t="s">
        <v>88</v>
      </c>
      <c r="N10" s="14" t="s">
        <v>89</v>
      </c>
      <c r="O10" s="14"/>
      <c r="P10" s="14" t="s">
        <v>90</v>
      </c>
      <c r="Q10" s="16" t="s">
        <v>91</v>
      </c>
    </row>
    <row r="11" customFormat="false" ht="22.35" hidden="false" customHeight="false" outlineLevel="0" collapsed="false">
      <c r="A11" s="14" t="n">
        <v>10</v>
      </c>
      <c r="B11" s="14" t="s">
        <v>114</v>
      </c>
      <c r="C11" s="14"/>
      <c r="D11" s="14" t="s">
        <v>17</v>
      </c>
      <c r="E11" s="14" t="s">
        <v>115</v>
      </c>
      <c r="F11" s="14" t="s">
        <v>116</v>
      </c>
      <c r="G11" s="14" t="s">
        <v>63</v>
      </c>
      <c r="H11" s="14" t="s">
        <v>117</v>
      </c>
      <c r="I11" s="14" t="s">
        <v>118</v>
      </c>
      <c r="J11" s="14" t="s">
        <v>119</v>
      </c>
      <c r="K11" s="15" t="n">
        <v>1</v>
      </c>
      <c r="L11" s="14" t="s">
        <v>87</v>
      </c>
      <c r="M11" s="14" t="s">
        <v>120</v>
      </c>
      <c r="N11" s="14" t="s">
        <v>89</v>
      </c>
      <c r="O11" s="14"/>
      <c r="P11" s="14" t="s">
        <v>90</v>
      </c>
      <c r="Q11" s="16" t="s">
        <v>121</v>
      </c>
    </row>
    <row r="12" customFormat="false" ht="15" hidden="false" customHeight="false" outlineLevel="0" collapsed="false">
      <c r="A12" s="14" t="n">
        <v>11</v>
      </c>
      <c r="B12" s="14" t="s">
        <v>122</v>
      </c>
      <c r="C12" s="14" t="s">
        <v>123</v>
      </c>
      <c r="D12" s="14" t="s">
        <v>17</v>
      </c>
      <c r="E12" s="14" t="s">
        <v>124</v>
      </c>
      <c r="F12" s="14" t="s">
        <v>125</v>
      </c>
      <c r="G12" s="14" t="s">
        <v>63</v>
      </c>
      <c r="H12" s="14" t="s">
        <v>126</v>
      </c>
      <c r="I12" s="14" t="s">
        <v>127</v>
      </c>
      <c r="J12" s="14" t="s">
        <v>108</v>
      </c>
      <c r="K12" s="15" t="n">
        <v>1</v>
      </c>
      <c r="L12" s="14" t="s">
        <v>67</v>
      </c>
      <c r="M12" s="14" t="s">
        <v>68</v>
      </c>
      <c r="N12" s="14" t="s">
        <v>69</v>
      </c>
      <c r="O12" s="14"/>
      <c r="P12" s="14" t="s">
        <v>71</v>
      </c>
      <c r="Q12" s="14" t="s">
        <v>72</v>
      </c>
    </row>
    <row r="13" customFormat="false" ht="22.35" hidden="false" customHeight="false" outlineLevel="0" collapsed="false">
      <c r="A13" s="14" t="n">
        <v>12</v>
      </c>
      <c r="B13" s="14" t="s">
        <v>128</v>
      </c>
      <c r="C13" s="14"/>
      <c r="D13" s="14" t="s">
        <v>17</v>
      </c>
      <c r="E13" s="14" t="s">
        <v>129</v>
      </c>
      <c r="F13" s="14" t="s">
        <v>130</v>
      </c>
      <c r="G13" s="14" t="s">
        <v>63</v>
      </c>
      <c r="H13" s="14" t="s">
        <v>131</v>
      </c>
      <c r="I13" s="14" t="s">
        <v>118</v>
      </c>
      <c r="J13" s="14" t="s">
        <v>119</v>
      </c>
      <c r="K13" s="15" t="n">
        <v>1</v>
      </c>
      <c r="L13" s="14" t="s">
        <v>87</v>
      </c>
      <c r="M13" s="14" t="s">
        <v>132</v>
      </c>
      <c r="N13" s="14" t="s">
        <v>89</v>
      </c>
      <c r="O13" s="14"/>
      <c r="P13" s="14" t="s">
        <v>90</v>
      </c>
      <c r="Q13" s="16" t="s">
        <v>121</v>
      </c>
    </row>
    <row r="14" customFormat="false" ht="15" hidden="false" customHeight="false" outlineLevel="0" collapsed="false">
      <c r="A14" s="14" t="n">
        <v>13</v>
      </c>
      <c r="B14" s="14" t="s">
        <v>133</v>
      </c>
      <c r="C14" s="14" t="s">
        <v>134</v>
      </c>
      <c r="D14" s="14" t="s">
        <v>17</v>
      </c>
      <c r="E14" s="14" t="s">
        <v>124</v>
      </c>
      <c r="F14" s="14" t="s">
        <v>135</v>
      </c>
      <c r="G14" s="14" t="s">
        <v>63</v>
      </c>
      <c r="H14" s="14" t="s">
        <v>136</v>
      </c>
      <c r="I14" s="14" t="s">
        <v>127</v>
      </c>
      <c r="J14" s="14" t="s">
        <v>108</v>
      </c>
      <c r="K14" s="15" t="n">
        <v>1</v>
      </c>
      <c r="L14" s="14" t="s">
        <v>67</v>
      </c>
      <c r="M14" s="14" t="s">
        <v>68</v>
      </c>
      <c r="N14" s="14" t="s">
        <v>69</v>
      </c>
      <c r="O14" s="14"/>
      <c r="P14" s="14" t="s">
        <v>71</v>
      </c>
      <c r="Q14" s="14" t="s">
        <v>72</v>
      </c>
    </row>
    <row r="15" customFormat="false" ht="22.35" hidden="false" customHeight="false" outlineLevel="0" collapsed="false">
      <c r="A15" s="14" t="n">
        <v>14</v>
      </c>
      <c r="B15" s="14" t="s">
        <v>137</v>
      </c>
      <c r="C15" s="14" t="s">
        <v>138</v>
      </c>
      <c r="D15" s="14" t="s">
        <v>29</v>
      </c>
      <c r="E15" s="14" t="s">
        <v>139</v>
      </c>
      <c r="F15" s="14" t="s">
        <v>62</v>
      </c>
      <c r="G15" s="14" t="s">
        <v>63</v>
      </c>
      <c r="H15" s="14" t="s">
        <v>140</v>
      </c>
      <c r="I15" s="14" t="s">
        <v>141</v>
      </c>
      <c r="J15" s="14" t="s">
        <v>142</v>
      </c>
      <c r="K15" s="15" t="n">
        <v>1</v>
      </c>
      <c r="L15" s="14" t="s">
        <v>67</v>
      </c>
      <c r="M15" s="14" t="s">
        <v>68</v>
      </c>
      <c r="N15" s="14" t="s">
        <v>143</v>
      </c>
      <c r="O15" s="14"/>
      <c r="P15" s="14" t="s">
        <v>71</v>
      </c>
      <c r="Q15" s="14" t="s">
        <v>72</v>
      </c>
    </row>
    <row r="16" customFormat="false" ht="22.35" hidden="false" customHeight="false" outlineLevel="0" collapsed="false">
      <c r="A16" s="14" t="n">
        <v>15</v>
      </c>
      <c r="B16" s="14" t="s">
        <v>144</v>
      </c>
      <c r="C16" s="14" t="s">
        <v>145</v>
      </c>
      <c r="D16" s="14" t="s">
        <v>29</v>
      </c>
      <c r="E16" s="14" t="s">
        <v>146</v>
      </c>
      <c r="F16" s="14" t="s">
        <v>147</v>
      </c>
      <c r="G16" s="14" t="s">
        <v>63</v>
      </c>
      <c r="H16" s="14" t="s">
        <v>148</v>
      </c>
      <c r="I16" s="14" t="s">
        <v>141</v>
      </c>
      <c r="J16" s="14" t="s">
        <v>142</v>
      </c>
      <c r="K16" s="15" t="n">
        <v>1</v>
      </c>
      <c r="L16" s="14" t="s">
        <v>67</v>
      </c>
      <c r="M16" s="14" t="s">
        <v>68</v>
      </c>
      <c r="N16" s="14" t="s">
        <v>143</v>
      </c>
      <c r="O16" s="14"/>
      <c r="P16" s="14" t="s">
        <v>71</v>
      </c>
      <c r="Q16" s="14" t="s">
        <v>72</v>
      </c>
    </row>
    <row r="17" customFormat="false" ht="22.35" hidden="false" customHeight="false" outlineLevel="0" collapsed="false">
      <c r="A17" s="14" t="n">
        <v>16</v>
      </c>
      <c r="B17" s="14" t="s">
        <v>149</v>
      </c>
      <c r="C17" s="14" t="s">
        <v>150</v>
      </c>
      <c r="D17" s="14" t="s">
        <v>29</v>
      </c>
      <c r="E17" s="14" t="s">
        <v>151</v>
      </c>
      <c r="F17" s="14" t="s">
        <v>62</v>
      </c>
      <c r="G17" s="14" t="s">
        <v>63</v>
      </c>
      <c r="H17" s="14" t="s">
        <v>152</v>
      </c>
      <c r="I17" s="14" t="s">
        <v>141</v>
      </c>
      <c r="J17" s="14" t="s">
        <v>142</v>
      </c>
      <c r="K17" s="15" t="n">
        <v>1</v>
      </c>
      <c r="L17" s="14" t="s">
        <v>67</v>
      </c>
      <c r="M17" s="14" t="s">
        <v>68</v>
      </c>
      <c r="N17" s="14" t="s">
        <v>143</v>
      </c>
      <c r="O17" s="14"/>
      <c r="P17" s="14" t="s">
        <v>71</v>
      </c>
      <c r="Q17" s="14" t="s">
        <v>72</v>
      </c>
    </row>
    <row r="18" customFormat="false" ht="22.35" hidden="false" customHeight="false" outlineLevel="0" collapsed="false">
      <c r="A18" s="14" t="n">
        <v>17</v>
      </c>
      <c r="B18" s="14" t="s">
        <v>153</v>
      </c>
      <c r="C18" s="14" t="s">
        <v>145</v>
      </c>
      <c r="D18" s="14" t="s">
        <v>29</v>
      </c>
      <c r="E18" s="14" t="s">
        <v>154</v>
      </c>
      <c r="F18" s="14" t="s">
        <v>62</v>
      </c>
      <c r="G18" s="14" t="s">
        <v>63</v>
      </c>
      <c r="H18" s="14" t="s">
        <v>155</v>
      </c>
      <c r="I18" s="14" t="s">
        <v>156</v>
      </c>
      <c r="J18" s="14" t="s">
        <v>142</v>
      </c>
      <c r="K18" s="15" t="n">
        <v>1</v>
      </c>
      <c r="L18" s="14" t="s">
        <v>67</v>
      </c>
      <c r="M18" s="14" t="s">
        <v>68</v>
      </c>
      <c r="N18" s="14" t="s">
        <v>157</v>
      </c>
      <c r="O18" s="14"/>
      <c r="P18" s="14" t="s">
        <v>71</v>
      </c>
      <c r="Q18" s="14" t="s">
        <v>72</v>
      </c>
    </row>
    <row r="19" customFormat="false" ht="22.35" hidden="false" customHeight="false" outlineLevel="0" collapsed="false">
      <c r="A19" s="14" t="n">
        <v>18</v>
      </c>
      <c r="B19" s="14" t="s">
        <v>158</v>
      </c>
      <c r="C19" s="14"/>
      <c r="D19" s="14" t="s">
        <v>10</v>
      </c>
      <c r="E19" s="14" t="s">
        <v>159</v>
      </c>
      <c r="F19" s="14" t="s">
        <v>160</v>
      </c>
      <c r="G19" s="14" t="s">
        <v>63</v>
      </c>
      <c r="H19" s="14" t="s">
        <v>161</v>
      </c>
      <c r="I19" s="14" t="s">
        <v>162</v>
      </c>
      <c r="J19" s="14" t="s">
        <v>163</v>
      </c>
      <c r="K19" s="15" t="n">
        <v>1</v>
      </c>
      <c r="L19" s="14" t="s">
        <v>87</v>
      </c>
      <c r="M19" s="14" t="s">
        <v>164</v>
      </c>
      <c r="N19" s="14" t="s">
        <v>89</v>
      </c>
      <c r="O19" s="14"/>
      <c r="P19" s="14" t="s">
        <v>90</v>
      </c>
      <c r="Q19" s="16" t="s">
        <v>121</v>
      </c>
    </row>
    <row r="20" customFormat="false" ht="32.8" hidden="false" customHeight="false" outlineLevel="0" collapsed="false">
      <c r="A20" s="14" t="n">
        <v>19</v>
      </c>
      <c r="B20" s="14" t="s">
        <v>165</v>
      </c>
      <c r="C20" s="14" t="s">
        <v>166</v>
      </c>
      <c r="D20" s="14" t="s">
        <v>10</v>
      </c>
      <c r="E20" s="14" t="s">
        <v>167</v>
      </c>
      <c r="F20" s="14" t="s">
        <v>168</v>
      </c>
      <c r="G20" s="14" t="s">
        <v>63</v>
      </c>
      <c r="H20" s="14" t="s">
        <v>169</v>
      </c>
      <c r="I20" s="14" t="s">
        <v>170</v>
      </c>
      <c r="J20" s="14" t="s">
        <v>171</v>
      </c>
      <c r="K20" s="15" t="n">
        <v>1</v>
      </c>
      <c r="L20" s="14" t="s">
        <v>87</v>
      </c>
      <c r="M20" s="14" t="s">
        <v>172</v>
      </c>
      <c r="N20" s="14" t="s">
        <v>173</v>
      </c>
      <c r="O20" s="14"/>
      <c r="P20" s="14" t="s">
        <v>71</v>
      </c>
      <c r="Q20" s="16" t="s">
        <v>174</v>
      </c>
    </row>
    <row r="21" customFormat="false" ht="32.8" hidden="false" customHeight="false" outlineLevel="0" collapsed="false">
      <c r="A21" s="14" t="n">
        <v>20</v>
      </c>
      <c r="B21" s="14" t="s">
        <v>175</v>
      </c>
      <c r="C21" s="14" t="s">
        <v>176</v>
      </c>
      <c r="D21" s="14" t="s">
        <v>10</v>
      </c>
      <c r="E21" s="14" t="s">
        <v>177</v>
      </c>
      <c r="F21" s="14" t="s">
        <v>178</v>
      </c>
      <c r="G21" s="14" t="s">
        <v>63</v>
      </c>
      <c r="H21" s="14" t="s">
        <v>179</v>
      </c>
      <c r="I21" s="14" t="s">
        <v>180</v>
      </c>
      <c r="J21" s="14" t="s">
        <v>171</v>
      </c>
      <c r="K21" s="15" t="n">
        <v>1</v>
      </c>
      <c r="L21" s="14" t="s">
        <v>67</v>
      </c>
      <c r="M21" s="14" t="s">
        <v>68</v>
      </c>
      <c r="N21" s="14" t="s">
        <v>69</v>
      </c>
      <c r="O21" s="14"/>
      <c r="P21" s="14" t="s">
        <v>71</v>
      </c>
      <c r="Q21" s="14" t="s">
        <v>72</v>
      </c>
    </row>
    <row r="22" customFormat="false" ht="32.8" hidden="false" customHeight="false" outlineLevel="0" collapsed="false">
      <c r="A22" s="14" t="n">
        <v>21</v>
      </c>
      <c r="B22" s="14" t="s">
        <v>181</v>
      </c>
      <c r="C22" s="14" t="s">
        <v>182</v>
      </c>
      <c r="D22" s="14" t="s">
        <v>10</v>
      </c>
      <c r="E22" s="14" t="s">
        <v>177</v>
      </c>
      <c r="F22" s="14" t="s">
        <v>62</v>
      </c>
      <c r="G22" s="14" t="s">
        <v>63</v>
      </c>
      <c r="H22" s="14" t="s">
        <v>183</v>
      </c>
      <c r="I22" s="14" t="s">
        <v>184</v>
      </c>
      <c r="J22" s="14" t="s">
        <v>171</v>
      </c>
      <c r="K22" s="15" t="n">
        <v>1</v>
      </c>
      <c r="L22" s="14" t="s">
        <v>67</v>
      </c>
      <c r="M22" s="14" t="s">
        <v>68</v>
      </c>
      <c r="N22" s="14" t="s">
        <v>69</v>
      </c>
      <c r="O22" s="14"/>
      <c r="P22" s="14" t="s">
        <v>71</v>
      </c>
      <c r="Q22" s="14" t="s">
        <v>72</v>
      </c>
    </row>
    <row r="23" customFormat="false" ht="32.8" hidden="false" customHeight="false" outlineLevel="0" collapsed="false">
      <c r="A23" s="14" t="n">
        <v>22</v>
      </c>
      <c r="B23" s="14" t="s">
        <v>185</v>
      </c>
      <c r="C23" s="14" t="s">
        <v>186</v>
      </c>
      <c r="D23" s="14" t="s">
        <v>10</v>
      </c>
      <c r="E23" s="14" t="s">
        <v>187</v>
      </c>
      <c r="F23" s="14" t="s">
        <v>188</v>
      </c>
      <c r="G23" s="14" t="s">
        <v>63</v>
      </c>
      <c r="H23" s="14" t="s">
        <v>189</v>
      </c>
      <c r="I23" s="14" t="s">
        <v>190</v>
      </c>
      <c r="J23" s="14" t="s">
        <v>171</v>
      </c>
      <c r="K23" s="15" t="n">
        <v>1</v>
      </c>
      <c r="L23" s="14" t="s">
        <v>67</v>
      </c>
      <c r="M23" s="14" t="s">
        <v>68</v>
      </c>
      <c r="N23" s="14" t="s">
        <v>191</v>
      </c>
      <c r="O23" s="14"/>
      <c r="P23" s="14" t="s">
        <v>71</v>
      </c>
      <c r="Q23" s="14" t="s">
        <v>72</v>
      </c>
    </row>
    <row r="24" customFormat="false" ht="15" hidden="false" customHeight="false" outlineLevel="0" collapsed="false">
      <c r="A24" s="14" t="n">
        <v>23</v>
      </c>
      <c r="B24" s="14" t="s">
        <v>192</v>
      </c>
      <c r="C24" s="14" t="s">
        <v>193</v>
      </c>
      <c r="D24" s="14" t="s">
        <v>23</v>
      </c>
      <c r="E24" s="14" t="s">
        <v>194</v>
      </c>
      <c r="F24" s="14" t="s">
        <v>195</v>
      </c>
      <c r="G24" s="14" t="s">
        <v>63</v>
      </c>
      <c r="H24" s="14" t="s">
        <v>196</v>
      </c>
      <c r="I24" s="14" t="s">
        <v>197</v>
      </c>
      <c r="J24" s="14" t="s">
        <v>198</v>
      </c>
      <c r="K24" s="15" t="n">
        <v>1</v>
      </c>
      <c r="L24" s="14" t="s">
        <v>67</v>
      </c>
      <c r="M24" s="14" t="s">
        <v>68</v>
      </c>
      <c r="N24" s="14" t="s">
        <v>69</v>
      </c>
      <c r="O24" s="14"/>
      <c r="P24" s="14" t="s">
        <v>71</v>
      </c>
      <c r="Q24" s="14" t="s">
        <v>72</v>
      </c>
    </row>
    <row r="25" customFormat="false" ht="22.35" hidden="false" customHeight="false" outlineLevel="0" collapsed="false">
      <c r="A25" s="14" t="n">
        <v>24</v>
      </c>
      <c r="B25" s="14" t="s">
        <v>199</v>
      </c>
      <c r="C25" s="14"/>
      <c r="D25" s="14" t="s">
        <v>23</v>
      </c>
      <c r="E25" s="14" t="s">
        <v>200</v>
      </c>
      <c r="F25" s="14" t="s">
        <v>201</v>
      </c>
      <c r="G25" s="14" t="s">
        <v>63</v>
      </c>
      <c r="H25" s="14" t="s">
        <v>202</v>
      </c>
      <c r="I25" s="14" t="s">
        <v>203</v>
      </c>
      <c r="J25" s="14" t="s">
        <v>198</v>
      </c>
      <c r="K25" s="15" t="n">
        <v>1</v>
      </c>
      <c r="L25" s="14" t="s">
        <v>87</v>
      </c>
      <c r="M25" s="14" t="s">
        <v>204</v>
      </c>
      <c r="N25" s="14" t="s">
        <v>89</v>
      </c>
      <c r="O25" s="14"/>
      <c r="P25" s="14" t="s">
        <v>90</v>
      </c>
      <c r="Q25" s="16" t="s">
        <v>121</v>
      </c>
    </row>
    <row r="26" customFormat="false" ht="22.35" hidden="false" customHeight="false" outlineLevel="0" collapsed="false">
      <c r="A26" s="14" t="n">
        <v>25</v>
      </c>
      <c r="B26" s="14" t="s">
        <v>205</v>
      </c>
      <c r="C26" s="14"/>
      <c r="D26" s="14" t="s">
        <v>31</v>
      </c>
      <c r="E26" s="14" t="s">
        <v>206</v>
      </c>
      <c r="F26" s="14" t="s">
        <v>160</v>
      </c>
      <c r="G26" s="14" t="s">
        <v>63</v>
      </c>
      <c r="H26" s="14" t="s">
        <v>207</v>
      </c>
      <c r="I26" s="14" t="s">
        <v>208</v>
      </c>
      <c r="J26" s="14" t="s">
        <v>209</v>
      </c>
      <c r="K26" s="15" t="n">
        <v>1</v>
      </c>
      <c r="L26" s="14" t="s">
        <v>87</v>
      </c>
      <c r="M26" s="14" t="s">
        <v>210</v>
      </c>
      <c r="N26" s="14" t="s">
        <v>89</v>
      </c>
      <c r="O26" s="14"/>
      <c r="P26" s="14" t="s">
        <v>90</v>
      </c>
      <c r="Q26" s="16" t="s">
        <v>211</v>
      </c>
    </row>
    <row r="27" customFormat="false" ht="22.35" hidden="false" customHeight="false" outlineLevel="0" collapsed="false">
      <c r="A27" s="14" t="n">
        <v>26</v>
      </c>
      <c r="B27" s="14" t="s">
        <v>212</v>
      </c>
      <c r="C27" s="14" t="s">
        <v>213</v>
      </c>
      <c r="D27" s="14" t="s">
        <v>31</v>
      </c>
      <c r="E27" s="14" t="s">
        <v>214</v>
      </c>
      <c r="F27" s="14" t="s">
        <v>215</v>
      </c>
      <c r="G27" s="14" t="s">
        <v>77</v>
      </c>
      <c r="H27" s="14" t="s">
        <v>216</v>
      </c>
      <c r="I27" s="14" t="s">
        <v>217</v>
      </c>
      <c r="J27" s="14" t="s">
        <v>218</v>
      </c>
      <c r="K27" s="15" t="n">
        <v>1</v>
      </c>
      <c r="L27" s="14" t="s">
        <v>67</v>
      </c>
      <c r="M27" s="14" t="s">
        <v>68</v>
      </c>
      <c r="N27" s="14" t="s">
        <v>219</v>
      </c>
      <c r="O27" s="14" t="s">
        <v>220</v>
      </c>
      <c r="P27" s="14" t="s">
        <v>71</v>
      </c>
      <c r="Q27" s="14" t="s">
        <v>72</v>
      </c>
    </row>
    <row r="28" customFormat="false" ht="32.8" hidden="false" customHeight="false" outlineLevel="0" collapsed="false">
      <c r="A28" s="14" t="n">
        <v>27</v>
      </c>
      <c r="B28" s="14" t="s">
        <v>221</v>
      </c>
      <c r="C28" s="14" t="s">
        <v>222</v>
      </c>
      <c r="D28" s="14" t="s">
        <v>27</v>
      </c>
      <c r="E28" s="14" t="s">
        <v>223</v>
      </c>
      <c r="F28" s="14" t="s">
        <v>147</v>
      </c>
      <c r="G28" s="14" t="s">
        <v>63</v>
      </c>
      <c r="H28" s="14" t="s">
        <v>224</v>
      </c>
      <c r="I28" s="14" t="s">
        <v>225</v>
      </c>
      <c r="J28" s="14" t="s">
        <v>226</v>
      </c>
      <c r="K28" s="15" t="n">
        <v>1</v>
      </c>
      <c r="L28" s="14" t="s">
        <v>67</v>
      </c>
      <c r="M28" s="14" t="s">
        <v>68</v>
      </c>
      <c r="N28" s="14" t="s">
        <v>227</v>
      </c>
      <c r="O28" s="14"/>
      <c r="P28" s="14" t="s">
        <v>71</v>
      </c>
      <c r="Q28" s="14" t="s">
        <v>72</v>
      </c>
    </row>
    <row r="29" customFormat="false" ht="22.35" hidden="false" customHeight="false" outlineLevel="0" collapsed="false">
      <c r="A29" s="14" t="n">
        <v>28</v>
      </c>
      <c r="B29" s="14" t="s">
        <v>228</v>
      </c>
      <c r="C29" s="14" t="s">
        <v>229</v>
      </c>
      <c r="D29" s="14" t="s">
        <v>12</v>
      </c>
      <c r="E29" s="14" t="s">
        <v>230</v>
      </c>
      <c r="F29" s="14" t="s">
        <v>215</v>
      </c>
      <c r="G29" s="14" t="s">
        <v>77</v>
      </c>
      <c r="H29" s="14" t="s">
        <v>231</v>
      </c>
      <c r="I29" s="14" t="s">
        <v>232</v>
      </c>
      <c r="J29" s="14" t="s">
        <v>233</v>
      </c>
      <c r="K29" s="15" t="n">
        <v>1</v>
      </c>
      <c r="L29" s="14" t="s">
        <v>67</v>
      </c>
      <c r="M29" s="14" t="s">
        <v>68</v>
      </c>
      <c r="N29" s="14" t="s">
        <v>234</v>
      </c>
      <c r="O29" s="14"/>
      <c r="P29" s="14" t="s">
        <v>71</v>
      </c>
      <c r="Q29" s="14" t="s">
        <v>72</v>
      </c>
    </row>
    <row r="30" customFormat="false" ht="22.35" hidden="false" customHeight="false" outlineLevel="0" collapsed="false">
      <c r="A30" s="14" t="n">
        <v>29</v>
      </c>
      <c r="B30" s="14" t="s">
        <v>235</v>
      </c>
      <c r="C30" s="14"/>
      <c r="D30" s="14" t="s">
        <v>12</v>
      </c>
      <c r="E30" s="14" t="s">
        <v>236</v>
      </c>
      <c r="F30" s="14" t="s">
        <v>237</v>
      </c>
      <c r="G30" s="14" t="s">
        <v>63</v>
      </c>
      <c r="H30" s="14" t="s">
        <v>238</v>
      </c>
      <c r="I30" s="14" t="s">
        <v>239</v>
      </c>
      <c r="J30" s="14" t="s">
        <v>240</v>
      </c>
      <c r="K30" s="15" t="n">
        <v>1</v>
      </c>
      <c r="L30" s="14" t="s">
        <v>87</v>
      </c>
      <c r="M30" s="14" t="s">
        <v>241</v>
      </c>
      <c r="N30" s="14" t="s">
        <v>89</v>
      </c>
      <c r="O30" s="14"/>
      <c r="P30" s="14" t="s">
        <v>90</v>
      </c>
      <c r="Q30" s="16" t="s">
        <v>121</v>
      </c>
    </row>
    <row r="31" customFormat="false" ht="22.35" hidden="false" customHeight="false" outlineLevel="0" collapsed="false">
      <c r="A31" s="14" t="n">
        <v>30</v>
      </c>
      <c r="B31" s="14" t="s">
        <v>242</v>
      </c>
      <c r="C31" s="14"/>
      <c r="D31" s="14" t="s">
        <v>12</v>
      </c>
      <c r="E31" s="14" t="s">
        <v>236</v>
      </c>
      <c r="F31" s="14" t="s">
        <v>243</v>
      </c>
      <c r="G31" s="14" t="s">
        <v>63</v>
      </c>
      <c r="H31" s="14" t="s">
        <v>238</v>
      </c>
      <c r="I31" s="14" t="s">
        <v>239</v>
      </c>
      <c r="J31" s="14" t="s">
        <v>240</v>
      </c>
      <c r="K31" s="15" t="n">
        <v>1</v>
      </c>
      <c r="L31" s="14" t="s">
        <v>87</v>
      </c>
      <c r="M31" s="14" t="s">
        <v>244</v>
      </c>
      <c r="N31" s="14" t="s">
        <v>89</v>
      </c>
      <c r="O31" s="14"/>
      <c r="P31" s="14" t="s">
        <v>90</v>
      </c>
      <c r="Q31" s="16" t="s">
        <v>121</v>
      </c>
    </row>
    <row r="32" customFormat="false" ht="22.35" hidden="false" customHeight="false" outlineLevel="0" collapsed="false">
      <c r="A32" s="14" t="n">
        <v>31</v>
      </c>
      <c r="B32" s="14" t="s">
        <v>245</v>
      </c>
      <c r="C32" s="14"/>
      <c r="D32" s="14" t="s">
        <v>12</v>
      </c>
      <c r="E32" s="14" t="s">
        <v>236</v>
      </c>
      <c r="F32" s="14" t="s">
        <v>246</v>
      </c>
      <c r="G32" s="14" t="s">
        <v>63</v>
      </c>
      <c r="H32" s="14" t="s">
        <v>238</v>
      </c>
      <c r="I32" s="14" t="s">
        <v>239</v>
      </c>
      <c r="J32" s="14" t="s">
        <v>240</v>
      </c>
      <c r="K32" s="15" t="n">
        <v>1</v>
      </c>
      <c r="L32" s="14" t="s">
        <v>87</v>
      </c>
      <c r="M32" s="14" t="s">
        <v>247</v>
      </c>
      <c r="N32" s="14" t="s">
        <v>89</v>
      </c>
      <c r="O32" s="14"/>
      <c r="P32" s="14" t="s">
        <v>90</v>
      </c>
      <c r="Q32" s="16" t="s">
        <v>121</v>
      </c>
    </row>
    <row r="33" customFormat="false" ht="22.35" hidden="false" customHeight="false" outlineLevel="0" collapsed="false">
      <c r="A33" s="14" t="n">
        <v>32</v>
      </c>
      <c r="B33" s="14" t="s">
        <v>248</v>
      </c>
      <c r="C33" s="14"/>
      <c r="D33" s="14" t="s">
        <v>12</v>
      </c>
      <c r="E33" s="14" t="s">
        <v>249</v>
      </c>
      <c r="F33" s="14" t="s">
        <v>250</v>
      </c>
      <c r="G33" s="14" t="s">
        <v>63</v>
      </c>
      <c r="H33" s="14" t="s">
        <v>238</v>
      </c>
      <c r="I33" s="14" t="s">
        <v>239</v>
      </c>
      <c r="J33" s="14" t="s">
        <v>240</v>
      </c>
      <c r="K33" s="15" t="n">
        <v>1</v>
      </c>
      <c r="L33" s="14" t="s">
        <v>87</v>
      </c>
      <c r="M33" s="14" t="s">
        <v>251</v>
      </c>
      <c r="N33" s="14" t="s">
        <v>89</v>
      </c>
      <c r="O33" s="14"/>
      <c r="P33" s="14" t="s">
        <v>90</v>
      </c>
      <c r="Q33" s="16" t="s">
        <v>121</v>
      </c>
    </row>
    <row r="34" customFormat="false" ht="32.8" hidden="false" customHeight="false" outlineLevel="0" collapsed="false">
      <c r="A34" s="14" t="n">
        <v>33</v>
      </c>
      <c r="B34" s="14" t="s">
        <v>252</v>
      </c>
      <c r="C34" s="14" t="s">
        <v>253</v>
      </c>
      <c r="D34" s="14" t="s">
        <v>12</v>
      </c>
      <c r="E34" s="14" t="s">
        <v>254</v>
      </c>
      <c r="F34" s="14" t="s">
        <v>215</v>
      </c>
      <c r="G34" s="14" t="s">
        <v>77</v>
      </c>
      <c r="H34" s="14" t="s">
        <v>255</v>
      </c>
      <c r="I34" s="14" t="s">
        <v>256</v>
      </c>
      <c r="J34" s="14" t="s">
        <v>257</v>
      </c>
      <c r="K34" s="15" t="n">
        <v>1</v>
      </c>
      <c r="L34" s="14" t="s">
        <v>67</v>
      </c>
      <c r="M34" s="14" t="s">
        <v>68</v>
      </c>
      <c r="N34" s="14" t="s">
        <v>258</v>
      </c>
      <c r="O34" s="14"/>
      <c r="P34" s="14" t="s">
        <v>71</v>
      </c>
      <c r="Q34" s="14" t="s">
        <v>72</v>
      </c>
    </row>
    <row r="35" customFormat="false" ht="22.35" hidden="false" customHeight="false" outlineLevel="0" collapsed="false">
      <c r="A35" s="14" t="n">
        <v>34</v>
      </c>
      <c r="B35" s="14" t="s">
        <v>259</v>
      </c>
      <c r="C35" s="14"/>
      <c r="D35" s="14" t="s">
        <v>12</v>
      </c>
      <c r="E35" s="14" t="s">
        <v>260</v>
      </c>
      <c r="F35" s="14" t="s">
        <v>261</v>
      </c>
      <c r="G35" s="14" t="s">
        <v>63</v>
      </c>
      <c r="H35" s="14" t="s">
        <v>262</v>
      </c>
      <c r="I35" s="14" t="s">
        <v>239</v>
      </c>
      <c r="J35" s="14" t="s">
        <v>240</v>
      </c>
      <c r="K35" s="15" t="n">
        <v>1</v>
      </c>
      <c r="L35" s="14" t="s">
        <v>87</v>
      </c>
      <c r="M35" s="14" t="s">
        <v>263</v>
      </c>
      <c r="N35" s="14" t="s">
        <v>89</v>
      </c>
      <c r="O35" s="14"/>
      <c r="P35" s="14" t="s">
        <v>90</v>
      </c>
      <c r="Q35" s="16" t="s">
        <v>121</v>
      </c>
    </row>
    <row r="36" customFormat="false" ht="22.35" hidden="false" customHeight="false" outlineLevel="0" collapsed="false">
      <c r="A36" s="14" t="n">
        <v>35</v>
      </c>
      <c r="B36" s="14" t="s">
        <v>264</v>
      </c>
      <c r="C36" s="14"/>
      <c r="D36" s="14" t="s">
        <v>12</v>
      </c>
      <c r="E36" s="14" t="s">
        <v>236</v>
      </c>
      <c r="F36" s="14" t="s">
        <v>265</v>
      </c>
      <c r="G36" s="14" t="s">
        <v>63</v>
      </c>
      <c r="H36" s="14" t="s">
        <v>238</v>
      </c>
      <c r="I36" s="14" t="s">
        <v>239</v>
      </c>
      <c r="J36" s="14" t="s">
        <v>240</v>
      </c>
      <c r="K36" s="15" t="n">
        <v>1</v>
      </c>
      <c r="L36" s="14" t="s">
        <v>87</v>
      </c>
      <c r="M36" s="14" t="s">
        <v>266</v>
      </c>
      <c r="N36" s="14" t="s">
        <v>89</v>
      </c>
      <c r="O36" s="14"/>
      <c r="P36" s="14" t="s">
        <v>90</v>
      </c>
      <c r="Q36" s="16" t="s">
        <v>121</v>
      </c>
    </row>
    <row r="37" customFormat="false" ht="22.35" hidden="false" customHeight="false" outlineLevel="0" collapsed="false">
      <c r="A37" s="14" t="n">
        <v>36</v>
      </c>
      <c r="B37" s="14" t="s">
        <v>267</v>
      </c>
      <c r="C37" s="14"/>
      <c r="D37" s="14" t="s">
        <v>12</v>
      </c>
      <c r="E37" s="14" t="s">
        <v>268</v>
      </c>
      <c r="F37" s="14" t="s">
        <v>269</v>
      </c>
      <c r="G37" s="14" t="s">
        <v>63</v>
      </c>
      <c r="H37" s="14" t="s">
        <v>270</v>
      </c>
      <c r="I37" s="14" t="s">
        <v>239</v>
      </c>
      <c r="J37" s="14" t="s">
        <v>240</v>
      </c>
      <c r="K37" s="15" t="n">
        <v>1</v>
      </c>
      <c r="L37" s="14" t="s">
        <v>87</v>
      </c>
      <c r="M37" s="14" t="s">
        <v>271</v>
      </c>
      <c r="N37" s="14" t="s">
        <v>89</v>
      </c>
      <c r="O37" s="14"/>
      <c r="P37" s="14" t="s">
        <v>90</v>
      </c>
      <c r="Q37" s="16" t="s">
        <v>121</v>
      </c>
    </row>
    <row r="38" customFormat="false" ht="22.35" hidden="false" customHeight="false" outlineLevel="0" collapsed="false">
      <c r="A38" s="14" t="n">
        <v>37</v>
      </c>
      <c r="B38" s="14" t="s">
        <v>272</v>
      </c>
      <c r="C38" s="14" t="s">
        <v>273</v>
      </c>
      <c r="D38" s="14" t="s">
        <v>12</v>
      </c>
      <c r="E38" s="14" t="s">
        <v>274</v>
      </c>
      <c r="F38" s="14" t="s">
        <v>215</v>
      </c>
      <c r="G38" s="14" t="s">
        <v>77</v>
      </c>
      <c r="H38" s="14" t="s">
        <v>275</v>
      </c>
      <c r="I38" s="14" t="s">
        <v>276</v>
      </c>
      <c r="J38" s="14" t="s">
        <v>277</v>
      </c>
      <c r="K38" s="15" t="n">
        <v>1</v>
      </c>
      <c r="L38" s="14" t="s">
        <v>87</v>
      </c>
      <c r="M38" s="14" t="s">
        <v>278</v>
      </c>
      <c r="N38" s="14" t="s">
        <v>279</v>
      </c>
      <c r="O38" s="14" t="s">
        <v>280</v>
      </c>
      <c r="P38" s="14" t="s">
        <v>71</v>
      </c>
      <c r="Q38" s="14" t="s">
        <v>72</v>
      </c>
    </row>
    <row r="39" customFormat="false" ht="22.35" hidden="false" customHeight="false" outlineLevel="0" collapsed="false">
      <c r="A39" s="14" t="n">
        <v>38</v>
      </c>
      <c r="B39" s="14" t="s">
        <v>281</v>
      </c>
      <c r="C39" s="14" t="s">
        <v>282</v>
      </c>
      <c r="D39" s="14" t="s">
        <v>12</v>
      </c>
      <c r="E39" s="14" t="s">
        <v>283</v>
      </c>
      <c r="F39" s="14" t="s">
        <v>215</v>
      </c>
      <c r="G39" s="14" t="s">
        <v>77</v>
      </c>
      <c r="H39" s="14" t="s">
        <v>284</v>
      </c>
      <c r="I39" s="14" t="s">
        <v>285</v>
      </c>
      <c r="J39" s="14" t="s">
        <v>286</v>
      </c>
      <c r="K39" s="15" t="n">
        <v>1</v>
      </c>
      <c r="L39" s="14" t="s">
        <v>67</v>
      </c>
      <c r="M39" s="14" t="s">
        <v>68</v>
      </c>
      <c r="N39" s="14" t="s">
        <v>69</v>
      </c>
      <c r="O39" s="14"/>
      <c r="P39" s="14" t="s">
        <v>71</v>
      </c>
      <c r="Q39" s="14" t="s">
        <v>72</v>
      </c>
    </row>
    <row r="40" customFormat="false" ht="22.35" hidden="false" customHeight="false" outlineLevel="0" collapsed="false">
      <c r="A40" s="14" t="n">
        <v>39</v>
      </c>
      <c r="B40" s="14" t="s">
        <v>287</v>
      </c>
      <c r="C40" s="14"/>
      <c r="D40" s="14" t="s">
        <v>12</v>
      </c>
      <c r="E40" s="14" t="s">
        <v>236</v>
      </c>
      <c r="F40" s="14" t="s">
        <v>243</v>
      </c>
      <c r="G40" s="14" t="s">
        <v>63</v>
      </c>
      <c r="H40" s="14" t="s">
        <v>288</v>
      </c>
      <c r="I40" s="14" t="s">
        <v>239</v>
      </c>
      <c r="J40" s="14" t="s">
        <v>240</v>
      </c>
      <c r="K40" s="15" t="n">
        <v>1</v>
      </c>
      <c r="L40" s="14" t="s">
        <v>87</v>
      </c>
      <c r="M40" s="14" t="s">
        <v>289</v>
      </c>
      <c r="N40" s="14" t="s">
        <v>89</v>
      </c>
      <c r="O40" s="14"/>
      <c r="P40" s="14" t="s">
        <v>90</v>
      </c>
      <c r="Q40" s="16" t="s">
        <v>121</v>
      </c>
    </row>
    <row r="41" customFormat="false" ht="22.35" hidden="false" customHeight="false" outlineLevel="0" collapsed="false">
      <c r="A41" s="14" t="n">
        <v>40</v>
      </c>
      <c r="B41" s="14" t="s">
        <v>290</v>
      </c>
      <c r="C41" s="14" t="s">
        <v>291</v>
      </c>
      <c r="D41" s="14" t="s">
        <v>12</v>
      </c>
      <c r="E41" s="14" t="s">
        <v>292</v>
      </c>
      <c r="F41" s="14" t="s">
        <v>293</v>
      </c>
      <c r="G41" s="14" t="s">
        <v>77</v>
      </c>
      <c r="H41" s="14" t="s">
        <v>294</v>
      </c>
      <c r="I41" s="14" t="s">
        <v>295</v>
      </c>
      <c r="J41" s="14" t="s">
        <v>296</v>
      </c>
      <c r="K41" s="15" t="n">
        <v>1</v>
      </c>
      <c r="L41" s="14" t="s">
        <v>67</v>
      </c>
      <c r="M41" s="14" t="s">
        <v>68</v>
      </c>
      <c r="N41" s="14" t="s">
        <v>69</v>
      </c>
      <c r="O41" s="14"/>
      <c r="P41" s="14" t="s">
        <v>71</v>
      </c>
      <c r="Q41" s="14" t="s">
        <v>72</v>
      </c>
    </row>
    <row r="42" customFormat="false" ht="32.8" hidden="false" customHeight="false" outlineLevel="0" collapsed="false">
      <c r="A42" s="14" t="n">
        <v>41</v>
      </c>
      <c r="B42" s="14" t="s">
        <v>297</v>
      </c>
      <c r="C42" s="14" t="s">
        <v>298</v>
      </c>
      <c r="D42" s="14" t="s">
        <v>15</v>
      </c>
      <c r="E42" s="14" t="s">
        <v>299</v>
      </c>
      <c r="F42" s="14" t="s">
        <v>300</v>
      </c>
      <c r="G42" s="14" t="s">
        <v>63</v>
      </c>
      <c r="H42" s="14" t="s">
        <v>301</v>
      </c>
      <c r="I42" s="14" t="s">
        <v>302</v>
      </c>
      <c r="J42" s="14" t="s">
        <v>226</v>
      </c>
      <c r="K42" s="15" t="n">
        <v>1</v>
      </c>
      <c r="L42" s="14" t="s">
        <v>67</v>
      </c>
      <c r="M42" s="14" t="s">
        <v>68</v>
      </c>
      <c r="N42" s="14" t="s">
        <v>69</v>
      </c>
      <c r="O42" s="14"/>
      <c r="P42" s="14" t="s">
        <v>71</v>
      </c>
      <c r="Q42" s="14" t="s">
        <v>72</v>
      </c>
    </row>
    <row r="43" customFormat="false" ht="32.8" hidden="false" customHeight="false" outlineLevel="0" collapsed="false">
      <c r="A43" s="14" t="n">
        <v>42</v>
      </c>
      <c r="B43" s="14" t="s">
        <v>303</v>
      </c>
      <c r="C43" s="14" t="s">
        <v>304</v>
      </c>
      <c r="D43" s="14" t="s">
        <v>15</v>
      </c>
      <c r="E43" s="14" t="s">
        <v>305</v>
      </c>
      <c r="F43" s="14" t="s">
        <v>306</v>
      </c>
      <c r="G43" s="14" t="s">
        <v>307</v>
      </c>
      <c r="H43" s="14" t="s">
        <v>308</v>
      </c>
      <c r="I43" s="14" t="s">
        <v>309</v>
      </c>
      <c r="J43" s="14" t="s">
        <v>226</v>
      </c>
      <c r="K43" s="15" t="n">
        <v>1</v>
      </c>
      <c r="L43" s="14" t="s">
        <v>67</v>
      </c>
      <c r="M43" s="14" t="s">
        <v>68</v>
      </c>
      <c r="N43" s="14" t="s">
        <v>310</v>
      </c>
      <c r="O43" s="14"/>
      <c r="P43" s="14" t="s">
        <v>71</v>
      </c>
      <c r="Q43" s="14" t="s">
        <v>72</v>
      </c>
    </row>
    <row r="44" customFormat="false" ht="22.35" hidden="false" customHeight="false" outlineLevel="0" collapsed="false">
      <c r="A44" s="14" t="n">
        <v>43</v>
      </c>
      <c r="B44" s="14" t="s">
        <v>311</v>
      </c>
      <c r="C44" s="14"/>
      <c r="D44" s="14" t="s">
        <v>25</v>
      </c>
      <c r="E44" s="14" t="s">
        <v>312</v>
      </c>
      <c r="F44" s="14" t="s">
        <v>188</v>
      </c>
      <c r="G44" s="14" t="s">
        <v>63</v>
      </c>
      <c r="H44" s="14" t="s">
        <v>313</v>
      </c>
      <c r="I44" s="14" t="s">
        <v>314</v>
      </c>
      <c r="J44" s="14" t="s">
        <v>315</v>
      </c>
      <c r="K44" s="15" t="n">
        <v>1</v>
      </c>
      <c r="L44" s="14" t="s">
        <v>87</v>
      </c>
      <c r="M44" s="14" t="s">
        <v>316</v>
      </c>
      <c r="N44" s="14" t="s">
        <v>89</v>
      </c>
      <c r="O44" s="14"/>
      <c r="P44" s="14" t="s">
        <v>90</v>
      </c>
      <c r="Q44" s="16" t="s">
        <v>317</v>
      </c>
    </row>
    <row r="45" customFormat="false" ht="15" hidden="false" customHeight="false" outlineLevel="0" collapsed="false">
      <c r="A45" s="14" t="n">
        <v>44</v>
      </c>
      <c r="B45" s="14" t="s">
        <v>318</v>
      </c>
      <c r="C45" s="14" t="s">
        <v>319</v>
      </c>
      <c r="D45" s="14" t="s">
        <v>25</v>
      </c>
      <c r="E45" s="14" t="s">
        <v>320</v>
      </c>
      <c r="F45" s="14" t="s">
        <v>160</v>
      </c>
      <c r="G45" s="14" t="s">
        <v>63</v>
      </c>
      <c r="H45" s="14" t="s">
        <v>321</v>
      </c>
      <c r="I45" s="14" t="s">
        <v>322</v>
      </c>
      <c r="J45" s="14" t="s">
        <v>108</v>
      </c>
      <c r="K45" s="15" t="n">
        <v>1</v>
      </c>
      <c r="L45" s="14" t="s">
        <v>67</v>
      </c>
      <c r="M45" s="14" t="s">
        <v>68</v>
      </c>
      <c r="N45" s="14" t="s">
        <v>69</v>
      </c>
      <c r="O45" s="14"/>
      <c r="P45" s="14" t="s">
        <v>71</v>
      </c>
      <c r="Q45" s="14" t="s">
        <v>72</v>
      </c>
    </row>
    <row r="46" customFormat="false" ht="22.35" hidden="false" customHeight="false" outlineLevel="0" collapsed="false">
      <c r="A46" s="14" t="n">
        <v>45</v>
      </c>
      <c r="B46" s="14" t="s">
        <v>323</v>
      </c>
      <c r="C46" s="14" t="s">
        <v>324</v>
      </c>
      <c r="D46" s="14" t="s">
        <v>25</v>
      </c>
      <c r="E46" s="14" t="s">
        <v>325</v>
      </c>
      <c r="F46" s="14" t="s">
        <v>326</v>
      </c>
      <c r="G46" s="14" t="s">
        <v>63</v>
      </c>
      <c r="H46" s="14" t="s">
        <v>327</v>
      </c>
      <c r="I46" s="14" t="s">
        <v>314</v>
      </c>
      <c r="J46" s="14" t="s">
        <v>315</v>
      </c>
      <c r="K46" s="15" t="n">
        <v>1</v>
      </c>
      <c r="L46" s="14" t="s">
        <v>67</v>
      </c>
      <c r="M46" s="14" t="s">
        <v>68</v>
      </c>
      <c r="N46" s="14" t="s">
        <v>69</v>
      </c>
      <c r="O46" s="14"/>
      <c r="P46" s="14" t="s">
        <v>71</v>
      </c>
      <c r="Q46" s="14" t="s">
        <v>72</v>
      </c>
    </row>
    <row r="47" customFormat="false" ht="22.35" hidden="false" customHeight="false" outlineLevel="0" collapsed="false">
      <c r="A47" s="14" t="n">
        <v>46</v>
      </c>
      <c r="B47" s="14" t="s">
        <v>328</v>
      </c>
      <c r="C47" s="14"/>
      <c r="D47" s="14" t="s">
        <v>25</v>
      </c>
      <c r="E47" s="14" t="s">
        <v>329</v>
      </c>
      <c r="F47" s="14" t="s">
        <v>330</v>
      </c>
      <c r="G47" s="14" t="s">
        <v>63</v>
      </c>
      <c r="H47" s="14" t="s">
        <v>331</v>
      </c>
      <c r="I47" s="14" t="s">
        <v>314</v>
      </c>
      <c r="J47" s="14" t="s">
        <v>315</v>
      </c>
      <c r="K47" s="15" t="n">
        <v>1</v>
      </c>
      <c r="L47" s="14" t="s">
        <v>87</v>
      </c>
      <c r="M47" s="14" t="s">
        <v>332</v>
      </c>
      <c r="N47" s="14" t="s">
        <v>89</v>
      </c>
      <c r="O47" s="14"/>
      <c r="P47" s="14" t="s">
        <v>90</v>
      </c>
      <c r="Q47" s="16" t="s">
        <v>121</v>
      </c>
    </row>
    <row r="48" customFormat="false" ht="15" hidden="false" customHeight="false" outlineLevel="0" collapsed="false">
      <c r="A48" s="14" t="n">
        <v>47</v>
      </c>
      <c r="B48" s="14" t="s">
        <v>333</v>
      </c>
      <c r="C48" s="14" t="s">
        <v>334</v>
      </c>
      <c r="D48" s="14" t="s">
        <v>22</v>
      </c>
      <c r="E48" s="14" t="s">
        <v>335</v>
      </c>
      <c r="F48" s="14" t="s">
        <v>76</v>
      </c>
      <c r="G48" s="14" t="s">
        <v>77</v>
      </c>
      <c r="H48" s="14" t="s">
        <v>336</v>
      </c>
      <c r="I48" s="14" t="s">
        <v>337</v>
      </c>
      <c r="J48" s="14" t="s">
        <v>338</v>
      </c>
      <c r="K48" s="15" t="n">
        <v>1</v>
      </c>
      <c r="L48" s="14" t="s">
        <v>67</v>
      </c>
      <c r="M48" s="14" t="s">
        <v>68</v>
      </c>
      <c r="N48" s="14" t="s">
        <v>69</v>
      </c>
      <c r="O48" s="14"/>
      <c r="P48" s="14" t="s">
        <v>71</v>
      </c>
      <c r="Q48" s="14" t="s">
        <v>72</v>
      </c>
    </row>
    <row r="49" customFormat="false" ht="15" hidden="false" customHeight="false" outlineLevel="0" collapsed="false">
      <c r="A49" s="14" t="n">
        <v>48</v>
      </c>
      <c r="B49" s="14" t="s">
        <v>339</v>
      </c>
      <c r="C49" s="14" t="s">
        <v>340</v>
      </c>
      <c r="D49" s="14" t="s">
        <v>22</v>
      </c>
      <c r="E49" s="14" t="s">
        <v>341</v>
      </c>
      <c r="F49" s="14" t="s">
        <v>76</v>
      </c>
      <c r="G49" s="14" t="s">
        <v>77</v>
      </c>
      <c r="H49" s="14" t="s">
        <v>342</v>
      </c>
      <c r="I49" s="14" t="s">
        <v>343</v>
      </c>
      <c r="J49" s="14" t="s">
        <v>344</v>
      </c>
      <c r="K49" s="15" t="n">
        <v>1</v>
      </c>
      <c r="L49" s="14" t="s">
        <v>67</v>
      </c>
      <c r="M49" s="14" t="s">
        <v>68</v>
      </c>
      <c r="N49" s="14" t="s">
        <v>69</v>
      </c>
      <c r="O49" s="14"/>
      <c r="P49" s="14" t="s">
        <v>71</v>
      </c>
      <c r="Q49" s="14" t="s">
        <v>72</v>
      </c>
    </row>
    <row r="50" customFormat="false" ht="22.35" hidden="false" customHeight="false" outlineLevel="0" collapsed="false">
      <c r="A50" s="14" t="n">
        <v>49</v>
      </c>
      <c r="B50" s="14" t="s">
        <v>345</v>
      </c>
      <c r="C50" s="14" t="s">
        <v>346</v>
      </c>
      <c r="D50" s="14" t="s">
        <v>22</v>
      </c>
      <c r="E50" s="14" t="s">
        <v>347</v>
      </c>
      <c r="F50" s="14" t="s">
        <v>348</v>
      </c>
      <c r="G50" s="14" t="s">
        <v>77</v>
      </c>
      <c r="H50" s="14" t="s">
        <v>349</v>
      </c>
      <c r="I50" s="14" t="s">
        <v>350</v>
      </c>
      <c r="J50" s="14" t="s">
        <v>338</v>
      </c>
      <c r="K50" s="15" t="n">
        <v>1</v>
      </c>
      <c r="L50" s="14" t="s">
        <v>67</v>
      </c>
      <c r="M50" s="14" t="s">
        <v>68</v>
      </c>
      <c r="N50" s="14" t="s">
        <v>69</v>
      </c>
      <c r="O50" s="14"/>
      <c r="P50" s="14" t="s">
        <v>71</v>
      </c>
      <c r="Q50" s="14" t="s">
        <v>72</v>
      </c>
    </row>
    <row r="51" customFormat="false" ht="15" hidden="false" customHeight="false" outlineLevel="0" collapsed="false">
      <c r="A51" s="14" t="n">
        <v>50</v>
      </c>
      <c r="B51" s="14" t="s">
        <v>351</v>
      </c>
      <c r="C51" s="14" t="s">
        <v>352</v>
      </c>
      <c r="D51" s="14" t="s">
        <v>22</v>
      </c>
      <c r="E51" s="14" t="s">
        <v>353</v>
      </c>
      <c r="F51" s="14" t="s">
        <v>62</v>
      </c>
      <c r="G51" s="14" t="s">
        <v>63</v>
      </c>
      <c r="H51" s="14" t="s">
        <v>354</v>
      </c>
      <c r="I51" s="14" t="s">
        <v>337</v>
      </c>
      <c r="J51" s="14" t="s">
        <v>338</v>
      </c>
      <c r="K51" s="15" t="n">
        <v>1</v>
      </c>
      <c r="L51" s="14" t="s">
        <v>67</v>
      </c>
      <c r="M51" s="14" t="s">
        <v>68</v>
      </c>
      <c r="N51" s="14" t="s">
        <v>69</v>
      </c>
      <c r="O51" s="14"/>
      <c r="P51" s="14" t="s">
        <v>71</v>
      </c>
      <c r="Q51" s="14" t="s">
        <v>72</v>
      </c>
    </row>
    <row r="52" customFormat="false" ht="22.35" hidden="false" customHeight="false" outlineLevel="0" collapsed="false">
      <c r="A52" s="14" t="n">
        <v>51</v>
      </c>
      <c r="B52" s="14" t="s">
        <v>355</v>
      </c>
      <c r="C52" s="14"/>
      <c r="D52" s="14" t="s">
        <v>22</v>
      </c>
      <c r="E52" s="14" t="s">
        <v>356</v>
      </c>
      <c r="F52" s="14" t="s">
        <v>357</v>
      </c>
      <c r="G52" s="14" t="s">
        <v>63</v>
      </c>
      <c r="H52" s="14" t="s">
        <v>358</v>
      </c>
      <c r="I52" s="14" t="s">
        <v>359</v>
      </c>
      <c r="J52" s="14" t="s">
        <v>360</v>
      </c>
      <c r="K52" s="15" t="n">
        <v>1</v>
      </c>
      <c r="L52" s="14" t="s">
        <v>87</v>
      </c>
      <c r="M52" s="14" t="s">
        <v>361</v>
      </c>
      <c r="N52" s="14" t="s">
        <v>89</v>
      </c>
      <c r="O52" s="14"/>
      <c r="P52" s="14" t="s">
        <v>90</v>
      </c>
      <c r="Q52" s="16" t="s">
        <v>121</v>
      </c>
    </row>
    <row r="53" customFormat="false" ht="15" hidden="false" customHeight="false" outlineLevel="0" collapsed="false">
      <c r="A53" s="14" t="n">
        <v>52</v>
      </c>
      <c r="B53" s="14" t="s">
        <v>362</v>
      </c>
      <c r="C53" s="14" t="s">
        <v>363</v>
      </c>
      <c r="D53" s="14" t="s">
        <v>14</v>
      </c>
      <c r="E53" s="14" t="s">
        <v>364</v>
      </c>
      <c r="F53" s="14" t="s">
        <v>365</v>
      </c>
      <c r="G53" s="14" t="s">
        <v>77</v>
      </c>
      <c r="H53" s="14" t="s">
        <v>366</v>
      </c>
      <c r="I53" s="14" t="s">
        <v>367</v>
      </c>
      <c r="J53" s="14" t="s">
        <v>108</v>
      </c>
      <c r="K53" s="15" t="n">
        <v>1</v>
      </c>
      <c r="L53" s="14" t="s">
        <v>67</v>
      </c>
      <c r="M53" s="14" t="s">
        <v>68</v>
      </c>
      <c r="N53" s="14" t="s">
        <v>69</v>
      </c>
      <c r="O53" s="14"/>
      <c r="P53" s="14" t="s">
        <v>71</v>
      </c>
      <c r="Q53" s="14" t="s">
        <v>72</v>
      </c>
    </row>
    <row r="54" customFormat="false" ht="22.35" hidden="false" customHeight="false" outlineLevel="0" collapsed="false">
      <c r="A54" s="14" t="n">
        <v>53</v>
      </c>
      <c r="B54" s="14" t="s">
        <v>368</v>
      </c>
      <c r="C54" s="14" t="s">
        <v>369</v>
      </c>
      <c r="D54" s="14" t="s">
        <v>14</v>
      </c>
      <c r="E54" s="14" t="s">
        <v>364</v>
      </c>
      <c r="F54" s="14" t="s">
        <v>370</v>
      </c>
      <c r="G54" s="14" t="s">
        <v>77</v>
      </c>
      <c r="H54" s="14" t="s">
        <v>371</v>
      </c>
      <c r="I54" s="14" t="s">
        <v>367</v>
      </c>
      <c r="J54" s="14" t="s">
        <v>108</v>
      </c>
      <c r="K54" s="15" t="n">
        <v>1</v>
      </c>
      <c r="L54" s="14" t="s">
        <v>67</v>
      </c>
      <c r="M54" s="14" t="s">
        <v>68</v>
      </c>
      <c r="N54" s="14" t="s">
        <v>372</v>
      </c>
      <c r="O54" s="14" t="s">
        <v>373</v>
      </c>
      <c r="P54" s="14" t="s">
        <v>71</v>
      </c>
      <c r="Q54" s="14" t="s">
        <v>72</v>
      </c>
    </row>
    <row r="55" customFormat="false" ht="22.35" hidden="false" customHeight="false" outlineLevel="0" collapsed="false">
      <c r="A55" s="14" t="n">
        <v>54</v>
      </c>
      <c r="B55" s="14" t="s">
        <v>374</v>
      </c>
      <c r="C55" s="14" t="s">
        <v>375</v>
      </c>
      <c r="D55" s="14" t="s">
        <v>14</v>
      </c>
      <c r="E55" s="14" t="s">
        <v>376</v>
      </c>
      <c r="F55" s="14" t="s">
        <v>377</v>
      </c>
      <c r="G55" s="14" t="s">
        <v>63</v>
      </c>
      <c r="H55" s="14" t="s">
        <v>378</v>
      </c>
      <c r="I55" s="14" t="s">
        <v>379</v>
      </c>
      <c r="J55" s="14" t="s">
        <v>380</v>
      </c>
      <c r="K55" s="15" t="n">
        <v>1</v>
      </c>
      <c r="L55" s="14" t="s">
        <v>67</v>
      </c>
      <c r="M55" s="14" t="s">
        <v>68</v>
      </c>
      <c r="N55" s="14" t="s">
        <v>381</v>
      </c>
      <c r="O55" s="14"/>
      <c r="P55" s="14" t="s">
        <v>71</v>
      </c>
      <c r="Q55" s="14" t="s">
        <v>72</v>
      </c>
    </row>
    <row r="56" customFormat="false" ht="32.8" hidden="false" customHeight="false" outlineLevel="0" collapsed="false">
      <c r="A56" s="14" t="n">
        <v>55</v>
      </c>
      <c r="B56" s="14" t="s">
        <v>382</v>
      </c>
      <c r="C56" s="14" t="s">
        <v>383</v>
      </c>
      <c r="D56" s="14" t="s">
        <v>8</v>
      </c>
      <c r="E56" s="14" t="s">
        <v>384</v>
      </c>
      <c r="F56" s="14" t="s">
        <v>326</v>
      </c>
      <c r="G56" s="14" t="s">
        <v>63</v>
      </c>
      <c r="H56" s="14" t="s">
        <v>385</v>
      </c>
      <c r="I56" s="14" t="s">
        <v>386</v>
      </c>
      <c r="J56" s="14" t="s">
        <v>387</v>
      </c>
      <c r="K56" s="15" t="n">
        <v>1</v>
      </c>
      <c r="L56" s="14" t="s">
        <v>67</v>
      </c>
      <c r="M56" s="14" t="s">
        <v>388</v>
      </c>
      <c r="N56" s="14" t="s">
        <v>389</v>
      </c>
      <c r="O56" s="14"/>
      <c r="P56" s="14" t="s">
        <v>90</v>
      </c>
      <c r="Q56" s="16" t="s">
        <v>390</v>
      </c>
    </row>
    <row r="57" customFormat="false" ht="22.35" hidden="false" customHeight="false" outlineLevel="0" collapsed="false">
      <c r="A57" s="14" t="n">
        <v>56</v>
      </c>
      <c r="B57" s="14" t="s">
        <v>391</v>
      </c>
      <c r="C57" s="14"/>
      <c r="D57" s="14" t="s">
        <v>8</v>
      </c>
      <c r="E57" s="14" t="s">
        <v>392</v>
      </c>
      <c r="F57" s="14" t="s">
        <v>135</v>
      </c>
      <c r="G57" s="14" t="s">
        <v>63</v>
      </c>
      <c r="H57" s="14" t="s">
        <v>393</v>
      </c>
      <c r="I57" s="14" t="s">
        <v>386</v>
      </c>
      <c r="J57" s="14" t="s">
        <v>387</v>
      </c>
      <c r="K57" s="15" t="n">
        <v>1</v>
      </c>
      <c r="L57" s="14" t="s">
        <v>87</v>
      </c>
      <c r="M57" s="14" t="s">
        <v>394</v>
      </c>
      <c r="N57" s="14" t="s">
        <v>89</v>
      </c>
      <c r="O57" s="14"/>
      <c r="P57" s="14" t="s">
        <v>90</v>
      </c>
      <c r="Q57" s="16" t="s">
        <v>395</v>
      </c>
    </row>
    <row r="58" customFormat="false" ht="32.8" hidden="false" customHeight="false" outlineLevel="0" collapsed="false">
      <c r="A58" s="14" t="n">
        <v>57</v>
      </c>
      <c r="B58" s="14" t="s">
        <v>396</v>
      </c>
      <c r="C58" s="14" t="s">
        <v>397</v>
      </c>
      <c r="D58" s="14" t="s">
        <v>8</v>
      </c>
      <c r="E58" s="14" t="s">
        <v>398</v>
      </c>
      <c r="F58" s="14" t="s">
        <v>135</v>
      </c>
      <c r="G58" s="14" t="s">
        <v>63</v>
      </c>
      <c r="H58" s="14" t="s">
        <v>399</v>
      </c>
      <c r="I58" s="14" t="s">
        <v>400</v>
      </c>
      <c r="J58" s="14" t="s">
        <v>401</v>
      </c>
      <c r="K58" s="15" t="n">
        <v>1</v>
      </c>
      <c r="L58" s="14" t="s">
        <v>67</v>
      </c>
      <c r="M58" s="14" t="s">
        <v>68</v>
      </c>
      <c r="N58" s="14" t="s">
        <v>69</v>
      </c>
      <c r="O58" s="14"/>
      <c r="P58" s="14" t="s">
        <v>71</v>
      </c>
      <c r="Q58" s="14" t="s">
        <v>72</v>
      </c>
    </row>
    <row r="59" customFormat="false" ht="22.35" hidden="false" customHeight="false" outlineLevel="0" collapsed="false">
      <c r="A59" s="14" t="n">
        <v>58</v>
      </c>
      <c r="B59" s="14" t="s">
        <v>402</v>
      </c>
      <c r="C59" s="14"/>
      <c r="D59" s="14" t="s">
        <v>8</v>
      </c>
      <c r="E59" s="14" t="s">
        <v>403</v>
      </c>
      <c r="F59" s="14" t="s">
        <v>62</v>
      </c>
      <c r="G59" s="14" t="s">
        <v>63</v>
      </c>
      <c r="H59" s="14" t="s">
        <v>404</v>
      </c>
      <c r="I59" s="14" t="s">
        <v>386</v>
      </c>
      <c r="J59" s="14" t="s">
        <v>387</v>
      </c>
      <c r="K59" s="15" t="n">
        <v>1</v>
      </c>
      <c r="L59" s="14" t="s">
        <v>87</v>
      </c>
      <c r="M59" s="14" t="s">
        <v>405</v>
      </c>
      <c r="N59" s="14" t="s">
        <v>89</v>
      </c>
      <c r="O59" s="14"/>
      <c r="P59" s="14" t="s">
        <v>90</v>
      </c>
      <c r="Q59" s="16" t="s">
        <v>121</v>
      </c>
    </row>
    <row r="60" customFormat="false" ht="32.8" hidden="false" customHeight="false" outlineLevel="0" collapsed="false">
      <c r="A60" s="14" t="n">
        <v>59</v>
      </c>
      <c r="B60" s="14" t="s">
        <v>406</v>
      </c>
      <c r="C60" s="14" t="s">
        <v>407</v>
      </c>
      <c r="D60" s="14" t="s">
        <v>8</v>
      </c>
      <c r="E60" s="14" t="s">
        <v>384</v>
      </c>
      <c r="F60" s="14" t="s">
        <v>408</v>
      </c>
      <c r="G60" s="14" t="s">
        <v>63</v>
      </c>
      <c r="H60" s="14" t="s">
        <v>409</v>
      </c>
      <c r="I60" s="14" t="s">
        <v>410</v>
      </c>
      <c r="J60" s="14" t="s">
        <v>401</v>
      </c>
      <c r="K60" s="15" t="n">
        <v>1</v>
      </c>
      <c r="L60" s="14" t="s">
        <v>67</v>
      </c>
      <c r="M60" s="14" t="s">
        <v>68</v>
      </c>
      <c r="N60" s="14" t="s">
        <v>411</v>
      </c>
      <c r="O60" s="14" t="s">
        <v>412</v>
      </c>
      <c r="P60" s="14" t="s">
        <v>71</v>
      </c>
      <c r="Q60" s="14" t="s">
        <v>72</v>
      </c>
    </row>
    <row r="61" customFormat="false" ht="32.8" hidden="false" customHeight="false" outlineLevel="0" collapsed="false">
      <c r="A61" s="14" t="n">
        <v>60</v>
      </c>
      <c r="B61" s="14" t="s">
        <v>413</v>
      </c>
      <c r="C61" s="14" t="s">
        <v>414</v>
      </c>
      <c r="D61" s="14" t="s">
        <v>8</v>
      </c>
      <c r="E61" s="14" t="s">
        <v>415</v>
      </c>
      <c r="F61" s="14" t="s">
        <v>135</v>
      </c>
      <c r="G61" s="14" t="s">
        <v>63</v>
      </c>
      <c r="H61" s="14" t="s">
        <v>416</v>
      </c>
      <c r="I61" s="14" t="s">
        <v>417</v>
      </c>
      <c r="J61" s="14" t="s">
        <v>401</v>
      </c>
      <c r="K61" s="15" t="n">
        <v>1</v>
      </c>
      <c r="L61" s="14" t="s">
        <v>67</v>
      </c>
      <c r="M61" s="14" t="s">
        <v>68</v>
      </c>
      <c r="N61" s="14" t="s">
        <v>418</v>
      </c>
      <c r="O61" s="14"/>
      <c r="P61" s="14" t="s">
        <v>71</v>
      </c>
      <c r="Q61" s="14" t="s">
        <v>72</v>
      </c>
    </row>
    <row r="62" customFormat="false" ht="22.35" hidden="false" customHeight="false" outlineLevel="0" collapsed="false">
      <c r="A62" s="14" t="n">
        <v>61</v>
      </c>
      <c r="B62" s="14" t="s">
        <v>419</v>
      </c>
      <c r="C62" s="14"/>
      <c r="D62" s="14" t="s">
        <v>8</v>
      </c>
      <c r="E62" s="14" t="s">
        <v>420</v>
      </c>
      <c r="F62" s="14" t="s">
        <v>160</v>
      </c>
      <c r="G62" s="14" t="s">
        <v>63</v>
      </c>
      <c r="H62" s="14" t="s">
        <v>421</v>
      </c>
      <c r="I62" s="14" t="s">
        <v>386</v>
      </c>
      <c r="J62" s="14" t="s">
        <v>387</v>
      </c>
      <c r="K62" s="15" t="n">
        <v>1</v>
      </c>
      <c r="L62" s="14" t="s">
        <v>87</v>
      </c>
      <c r="M62" s="14" t="s">
        <v>422</v>
      </c>
      <c r="N62" s="14" t="s">
        <v>89</v>
      </c>
      <c r="O62" s="14"/>
      <c r="P62" s="14" t="s">
        <v>90</v>
      </c>
      <c r="Q62" s="16" t="s">
        <v>423</v>
      </c>
    </row>
    <row r="63" customFormat="false" ht="22.35" hidden="false" customHeight="false" outlineLevel="0" collapsed="false">
      <c r="A63" s="14" t="n">
        <v>62</v>
      </c>
      <c r="B63" s="14" t="s">
        <v>424</v>
      </c>
      <c r="C63" s="14"/>
      <c r="D63" s="14" t="s">
        <v>8</v>
      </c>
      <c r="E63" s="14" t="s">
        <v>425</v>
      </c>
      <c r="F63" s="14" t="s">
        <v>160</v>
      </c>
      <c r="G63" s="14" t="s">
        <v>63</v>
      </c>
      <c r="H63" s="14" t="s">
        <v>426</v>
      </c>
      <c r="I63" s="14" t="s">
        <v>386</v>
      </c>
      <c r="J63" s="14" t="s">
        <v>387</v>
      </c>
      <c r="K63" s="15" t="n">
        <v>1</v>
      </c>
      <c r="L63" s="14" t="s">
        <v>87</v>
      </c>
      <c r="M63" s="14" t="s">
        <v>427</v>
      </c>
      <c r="N63" s="14" t="s">
        <v>89</v>
      </c>
      <c r="O63" s="14"/>
      <c r="P63" s="14" t="s">
        <v>90</v>
      </c>
      <c r="Q63" s="16" t="s">
        <v>428</v>
      </c>
    </row>
    <row r="64" customFormat="false" ht="32.8" hidden="false" customHeight="false" outlineLevel="0" collapsed="false">
      <c r="A64" s="14" t="n">
        <v>63</v>
      </c>
      <c r="B64" s="14" t="s">
        <v>429</v>
      </c>
      <c r="C64" s="14"/>
      <c r="D64" s="14" t="s">
        <v>8</v>
      </c>
      <c r="E64" s="14" t="s">
        <v>430</v>
      </c>
      <c r="F64" s="14" t="s">
        <v>188</v>
      </c>
      <c r="G64" s="14" t="s">
        <v>63</v>
      </c>
      <c r="H64" s="14" t="s">
        <v>431</v>
      </c>
      <c r="I64" s="14" t="s">
        <v>386</v>
      </c>
      <c r="J64" s="14" t="s">
        <v>387</v>
      </c>
      <c r="K64" s="15" t="n">
        <v>1</v>
      </c>
      <c r="L64" s="14" t="s">
        <v>87</v>
      </c>
      <c r="M64" s="14" t="s">
        <v>432</v>
      </c>
      <c r="N64" s="14" t="s">
        <v>89</v>
      </c>
      <c r="O64" s="14"/>
      <c r="P64" s="14" t="s">
        <v>90</v>
      </c>
      <c r="Q64" s="16" t="s">
        <v>433</v>
      </c>
    </row>
    <row r="65" customFormat="false" ht="32.8" hidden="false" customHeight="false" outlineLevel="0" collapsed="false">
      <c r="A65" s="14" t="n">
        <v>64</v>
      </c>
      <c r="B65" s="14" t="s">
        <v>434</v>
      </c>
      <c r="C65" s="14" t="s">
        <v>435</v>
      </c>
      <c r="D65" s="14" t="s">
        <v>8</v>
      </c>
      <c r="E65" s="14" t="s">
        <v>436</v>
      </c>
      <c r="F65" s="14" t="s">
        <v>62</v>
      </c>
      <c r="G65" s="14" t="s">
        <v>63</v>
      </c>
      <c r="H65" s="14" t="s">
        <v>437</v>
      </c>
      <c r="I65" s="14" t="s">
        <v>400</v>
      </c>
      <c r="J65" s="14" t="s">
        <v>401</v>
      </c>
      <c r="K65" s="15" t="n">
        <v>1</v>
      </c>
      <c r="L65" s="14" t="s">
        <v>67</v>
      </c>
      <c r="M65" s="14" t="s">
        <v>68</v>
      </c>
      <c r="N65" s="14" t="s">
        <v>69</v>
      </c>
      <c r="O65" s="14"/>
      <c r="P65" s="14" t="s">
        <v>71</v>
      </c>
      <c r="Q65" s="14" t="s">
        <v>72</v>
      </c>
    </row>
    <row r="66" customFormat="false" ht="32.8" hidden="false" customHeight="false" outlineLevel="0" collapsed="false">
      <c r="A66" s="14" t="n">
        <v>65</v>
      </c>
      <c r="B66" s="14" t="s">
        <v>438</v>
      </c>
      <c r="C66" s="14"/>
      <c r="D66" s="14" t="s">
        <v>8</v>
      </c>
      <c r="E66" s="14" t="s">
        <v>439</v>
      </c>
      <c r="F66" s="14" t="s">
        <v>135</v>
      </c>
      <c r="G66" s="14" t="s">
        <v>63</v>
      </c>
      <c r="H66" s="14" t="s">
        <v>440</v>
      </c>
      <c r="I66" s="14" t="s">
        <v>386</v>
      </c>
      <c r="J66" s="14" t="s">
        <v>387</v>
      </c>
      <c r="K66" s="15" t="n">
        <v>1</v>
      </c>
      <c r="L66" s="14" t="s">
        <v>87</v>
      </c>
      <c r="M66" s="14" t="s">
        <v>441</v>
      </c>
      <c r="N66" s="14" t="s">
        <v>89</v>
      </c>
      <c r="O66" s="14"/>
      <c r="P66" s="14" t="s">
        <v>90</v>
      </c>
      <c r="Q66" s="16" t="s">
        <v>442</v>
      </c>
    </row>
    <row r="67" customFormat="false" ht="32.8" hidden="false" customHeight="false" outlineLevel="0" collapsed="false">
      <c r="A67" s="14" t="n">
        <v>66</v>
      </c>
      <c r="B67" s="14" t="s">
        <v>443</v>
      </c>
      <c r="C67" s="14" t="s">
        <v>444</v>
      </c>
      <c r="D67" s="14" t="s">
        <v>8</v>
      </c>
      <c r="E67" s="14" t="s">
        <v>445</v>
      </c>
      <c r="F67" s="14" t="s">
        <v>62</v>
      </c>
      <c r="G67" s="14" t="s">
        <v>63</v>
      </c>
      <c r="H67" s="14" t="s">
        <v>446</v>
      </c>
      <c r="I67" s="14" t="s">
        <v>447</v>
      </c>
      <c r="J67" s="14" t="s">
        <v>401</v>
      </c>
      <c r="K67" s="15" t="n">
        <v>1</v>
      </c>
      <c r="L67" s="14" t="s">
        <v>67</v>
      </c>
      <c r="M67" s="14" t="s">
        <v>68</v>
      </c>
      <c r="N67" s="14" t="s">
        <v>69</v>
      </c>
      <c r="O67" s="14"/>
      <c r="P67" s="14" t="s">
        <v>71</v>
      </c>
      <c r="Q67" s="14" t="s">
        <v>72</v>
      </c>
    </row>
    <row r="68" customFormat="false" ht="22.35" hidden="false" customHeight="false" outlineLevel="0" collapsed="false">
      <c r="A68" s="14" t="n">
        <v>67</v>
      </c>
      <c r="B68" s="14" t="s">
        <v>448</v>
      </c>
      <c r="C68" s="14"/>
      <c r="D68" s="14" t="s">
        <v>19</v>
      </c>
      <c r="E68" s="14" t="s">
        <v>449</v>
      </c>
      <c r="F68" s="14" t="s">
        <v>215</v>
      </c>
      <c r="G68" s="14" t="s">
        <v>77</v>
      </c>
      <c r="H68" s="14" t="s">
        <v>450</v>
      </c>
      <c r="I68" s="14" t="s">
        <v>79</v>
      </c>
      <c r="J68" s="14" t="s">
        <v>66</v>
      </c>
      <c r="K68" s="17" t="n">
        <v>2</v>
      </c>
      <c r="L68" s="14" t="s">
        <v>67</v>
      </c>
      <c r="M68" s="14" t="s">
        <v>451</v>
      </c>
      <c r="N68" s="14" t="s">
        <v>389</v>
      </c>
      <c r="O68" s="14"/>
      <c r="P68" s="14" t="s">
        <v>90</v>
      </c>
      <c r="Q68" s="14" t="s">
        <v>72</v>
      </c>
    </row>
    <row r="69" customFormat="false" ht="22.35" hidden="false" customHeight="false" outlineLevel="0" collapsed="false">
      <c r="A69" s="14" t="n">
        <v>68</v>
      </c>
      <c r="B69" s="14" t="s">
        <v>452</v>
      </c>
      <c r="C69" s="14" t="s">
        <v>453</v>
      </c>
      <c r="D69" s="14" t="s">
        <v>19</v>
      </c>
      <c r="E69" s="14" t="s">
        <v>454</v>
      </c>
      <c r="F69" s="14" t="s">
        <v>455</v>
      </c>
      <c r="G69" s="14" t="s">
        <v>63</v>
      </c>
      <c r="H69" s="14" t="s">
        <v>450</v>
      </c>
      <c r="I69" s="14" t="s">
        <v>79</v>
      </c>
      <c r="J69" s="14" t="s">
        <v>66</v>
      </c>
      <c r="K69" s="17" t="n">
        <v>2</v>
      </c>
      <c r="L69" s="14" t="s">
        <v>67</v>
      </c>
      <c r="M69" s="14" t="s">
        <v>68</v>
      </c>
      <c r="N69" s="14" t="s">
        <v>389</v>
      </c>
      <c r="O69" s="14"/>
      <c r="P69" s="14" t="s">
        <v>71</v>
      </c>
      <c r="Q69" s="14" t="s">
        <v>72</v>
      </c>
    </row>
    <row r="70" customFormat="false" ht="22.35" hidden="false" customHeight="false" outlineLevel="0" collapsed="false">
      <c r="A70" s="14" t="n">
        <v>69</v>
      </c>
      <c r="B70" s="14" t="s">
        <v>456</v>
      </c>
      <c r="C70" s="14"/>
      <c r="D70" s="14" t="s">
        <v>19</v>
      </c>
      <c r="E70" s="14" t="s">
        <v>457</v>
      </c>
      <c r="F70" s="14" t="s">
        <v>306</v>
      </c>
      <c r="G70" s="14" t="s">
        <v>307</v>
      </c>
      <c r="H70" s="14" t="s">
        <v>450</v>
      </c>
      <c r="I70" s="14" t="s">
        <v>79</v>
      </c>
      <c r="J70" s="14" t="s">
        <v>66</v>
      </c>
      <c r="K70" s="17" t="n">
        <v>2</v>
      </c>
      <c r="L70" s="14" t="s">
        <v>67</v>
      </c>
      <c r="M70" s="14" t="s">
        <v>451</v>
      </c>
      <c r="N70" s="14" t="s">
        <v>389</v>
      </c>
      <c r="O70" s="14"/>
      <c r="P70" s="14" t="s">
        <v>90</v>
      </c>
      <c r="Q70" s="14" t="s">
        <v>72</v>
      </c>
    </row>
    <row r="71" customFormat="false" ht="22.35" hidden="false" customHeight="false" outlineLevel="0" collapsed="false">
      <c r="A71" s="14" t="n">
        <v>70</v>
      </c>
      <c r="B71" s="14" t="s">
        <v>458</v>
      </c>
      <c r="C71" s="14" t="s">
        <v>459</v>
      </c>
      <c r="D71" s="14" t="s">
        <v>19</v>
      </c>
      <c r="E71" s="14" t="s">
        <v>460</v>
      </c>
      <c r="F71" s="14" t="s">
        <v>215</v>
      </c>
      <c r="G71" s="14" t="s">
        <v>77</v>
      </c>
      <c r="H71" s="14" t="s">
        <v>450</v>
      </c>
      <c r="I71" s="14" t="s">
        <v>79</v>
      </c>
      <c r="J71" s="14" t="s">
        <v>66</v>
      </c>
      <c r="K71" s="17" t="n">
        <v>2</v>
      </c>
      <c r="L71" s="14" t="s">
        <v>67</v>
      </c>
      <c r="M71" s="14" t="s">
        <v>68</v>
      </c>
      <c r="N71" s="14" t="s">
        <v>389</v>
      </c>
      <c r="O71" s="14"/>
      <c r="P71" s="14" t="s">
        <v>71</v>
      </c>
      <c r="Q71" s="14" t="s">
        <v>72</v>
      </c>
    </row>
    <row r="72" customFormat="false" ht="22.35" hidden="false" customHeight="false" outlineLevel="0" collapsed="false">
      <c r="A72" s="14" t="n">
        <v>71</v>
      </c>
      <c r="B72" s="14" t="s">
        <v>461</v>
      </c>
      <c r="C72" s="14" t="s">
        <v>462</v>
      </c>
      <c r="D72" s="14" t="s">
        <v>19</v>
      </c>
      <c r="E72" s="14" t="s">
        <v>463</v>
      </c>
      <c r="F72" s="14" t="s">
        <v>215</v>
      </c>
      <c r="G72" s="14" t="s">
        <v>77</v>
      </c>
      <c r="H72" s="14" t="s">
        <v>450</v>
      </c>
      <c r="I72" s="14" t="s">
        <v>79</v>
      </c>
      <c r="J72" s="14" t="s">
        <v>66</v>
      </c>
      <c r="K72" s="17" t="n">
        <v>2</v>
      </c>
      <c r="L72" s="14" t="s">
        <v>67</v>
      </c>
      <c r="M72" s="14" t="s">
        <v>68</v>
      </c>
      <c r="N72" s="14" t="s">
        <v>389</v>
      </c>
      <c r="O72" s="14"/>
      <c r="P72" s="14" t="s">
        <v>71</v>
      </c>
      <c r="Q72" s="14" t="s">
        <v>72</v>
      </c>
    </row>
    <row r="73" customFormat="false" ht="22.35" hidden="false" customHeight="false" outlineLevel="0" collapsed="false">
      <c r="A73" s="14" t="n">
        <v>72</v>
      </c>
      <c r="B73" s="14" t="s">
        <v>464</v>
      </c>
      <c r="C73" s="14" t="s">
        <v>465</v>
      </c>
      <c r="D73" s="14" t="s">
        <v>19</v>
      </c>
      <c r="E73" s="14" t="s">
        <v>61</v>
      </c>
      <c r="F73" s="14" t="s">
        <v>135</v>
      </c>
      <c r="G73" s="14" t="s">
        <v>63</v>
      </c>
      <c r="H73" s="14" t="s">
        <v>450</v>
      </c>
      <c r="I73" s="14" t="s">
        <v>79</v>
      </c>
      <c r="J73" s="14" t="s">
        <v>66</v>
      </c>
      <c r="K73" s="17" t="n">
        <v>2</v>
      </c>
      <c r="L73" s="14" t="s">
        <v>67</v>
      </c>
      <c r="M73" s="14" t="s">
        <v>68</v>
      </c>
      <c r="N73" s="14" t="s">
        <v>389</v>
      </c>
      <c r="O73" s="14" t="s">
        <v>466</v>
      </c>
      <c r="P73" s="14" t="s">
        <v>71</v>
      </c>
      <c r="Q73" s="14" t="s">
        <v>72</v>
      </c>
    </row>
    <row r="74" customFormat="false" ht="22.35" hidden="false" customHeight="false" outlineLevel="0" collapsed="false">
      <c r="A74" s="14" t="n">
        <v>73</v>
      </c>
      <c r="B74" s="14" t="s">
        <v>467</v>
      </c>
      <c r="C74" s="14" t="s">
        <v>468</v>
      </c>
      <c r="D74" s="14" t="s">
        <v>19</v>
      </c>
      <c r="E74" s="14" t="s">
        <v>61</v>
      </c>
      <c r="F74" s="14" t="s">
        <v>469</v>
      </c>
      <c r="G74" s="14" t="s">
        <v>77</v>
      </c>
      <c r="H74" s="14" t="s">
        <v>450</v>
      </c>
      <c r="I74" s="14" t="s">
        <v>79</v>
      </c>
      <c r="J74" s="14" t="s">
        <v>66</v>
      </c>
      <c r="K74" s="17" t="n">
        <v>2</v>
      </c>
      <c r="L74" s="14" t="s">
        <v>67</v>
      </c>
      <c r="M74" s="14" t="s">
        <v>68</v>
      </c>
      <c r="N74" s="14" t="s">
        <v>389</v>
      </c>
      <c r="O74" s="14" t="s">
        <v>470</v>
      </c>
      <c r="P74" s="14" t="s">
        <v>71</v>
      </c>
      <c r="Q74" s="14" t="s">
        <v>72</v>
      </c>
    </row>
    <row r="75" customFormat="false" ht="22.35" hidden="false" customHeight="false" outlineLevel="0" collapsed="false">
      <c r="A75" s="14" t="n">
        <v>74</v>
      </c>
      <c r="B75" s="14" t="s">
        <v>471</v>
      </c>
      <c r="C75" s="14"/>
      <c r="D75" s="14" t="s">
        <v>19</v>
      </c>
      <c r="E75" s="14" t="s">
        <v>472</v>
      </c>
      <c r="F75" s="14" t="s">
        <v>215</v>
      </c>
      <c r="G75" s="14" t="s">
        <v>77</v>
      </c>
      <c r="H75" s="14" t="s">
        <v>450</v>
      </c>
      <c r="I75" s="14" t="s">
        <v>79</v>
      </c>
      <c r="J75" s="14" t="s">
        <v>66</v>
      </c>
      <c r="K75" s="17" t="n">
        <v>2</v>
      </c>
      <c r="L75" s="14" t="s">
        <v>67</v>
      </c>
      <c r="M75" s="14" t="s">
        <v>451</v>
      </c>
      <c r="N75" s="14" t="s">
        <v>389</v>
      </c>
      <c r="O75" s="14"/>
      <c r="P75" s="14" t="s">
        <v>90</v>
      </c>
      <c r="Q75" s="14" t="s">
        <v>72</v>
      </c>
    </row>
    <row r="76" customFormat="false" ht="22.35" hidden="false" customHeight="false" outlineLevel="0" collapsed="false">
      <c r="A76" s="14" t="n">
        <v>75</v>
      </c>
      <c r="B76" s="14" t="s">
        <v>473</v>
      </c>
      <c r="C76" s="14" t="s">
        <v>474</v>
      </c>
      <c r="D76" s="14" t="s">
        <v>19</v>
      </c>
      <c r="E76" s="14" t="s">
        <v>61</v>
      </c>
      <c r="F76" s="14" t="s">
        <v>215</v>
      </c>
      <c r="G76" s="14" t="s">
        <v>77</v>
      </c>
      <c r="H76" s="14" t="s">
        <v>450</v>
      </c>
      <c r="I76" s="14" t="s">
        <v>79</v>
      </c>
      <c r="J76" s="14" t="s">
        <v>66</v>
      </c>
      <c r="K76" s="17" t="n">
        <v>2</v>
      </c>
      <c r="L76" s="14" t="s">
        <v>67</v>
      </c>
      <c r="M76" s="14" t="s">
        <v>68</v>
      </c>
      <c r="N76" s="14" t="s">
        <v>389</v>
      </c>
      <c r="O76" s="14"/>
      <c r="P76" s="14" t="s">
        <v>71</v>
      </c>
      <c r="Q76" s="14" t="s">
        <v>72</v>
      </c>
    </row>
    <row r="77" customFormat="false" ht="22.35" hidden="false" customHeight="false" outlineLevel="0" collapsed="false">
      <c r="A77" s="14" t="n">
        <v>76</v>
      </c>
      <c r="B77" s="14" t="s">
        <v>475</v>
      </c>
      <c r="C77" s="14" t="s">
        <v>476</v>
      </c>
      <c r="D77" s="14" t="s">
        <v>19</v>
      </c>
      <c r="E77" s="14" t="s">
        <v>454</v>
      </c>
      <c r="F77" s="14" t="s">
        <v>62</v>
      </c>
      <c r="G77" s="14" t="s">
        <v>63</v>
      </c>
      <c r="H77" s="14" t="s">
        <v>450</v>
      </c>
      <c r="I77" s="14" t="s">
        <v>79</v>
      </c>
      <c r="J77" s="14" t="s">
        <v>66</v>
      </c>
      <c r="K77" s="17" t="n">
        <v>2</v>
      </c>
      <c r="L77" s="14" t="s">
        <v>67</v>
      </c>
      <c r="M77" s="14" t="s">
        <v>68</v>
      </c>
      <c r="N77" s="14" t="s">
        <v>389</v>
      </c>
      <c r="O77" s="14"/>
      <c r="P77" s="14" t="s">
        <v>71</v>
      </c>
      <c r="Q77" s="14" t="s">
        <v>72</v>
      </c>
    </row>
    <row r="78" customFormat="false" ht="22.35" hidden="false" customHeight="false" outlineLevel="0" collapsed="false">
      <c r="A78" s="14" t="n">
        <v>77</v>
      </c>
      <c r="B78" s="14" t="s">
        <v>477</v>
      </c>
      <c r="C78" s="14"/>
      <c r="D78" s="14" t="s">
        <v>19</v>
      </c>
      <c r="E78" s="14" t="s">
        <v>478</v>
      </c>
      <c r="F78" s="14" t="s">
        <v>188</v>
      </c>
      <c r="G78" s="14" t="s">
        <v>63</v>
      </c>
      <c r="H78" s="14" t="s">
        <v>450</v>
      </c>
      <c r="I78" s="14" t="s">
        <v>79</v>
      </c>
      <c r="J78" s="14" t="s">
        <v>66</v>
      </c>
      <c r="K78" s="17" t="n">
        <v>2</v>
      </c>
      <c r="L78" s="14" t="s">
        <v>67</v>
      </c>
      <c r="M78" s="14" t="s">
        <v>68</v>
      </c>
      <c r="N78" s="14" t="s">
        <v>389</v>
      </c>
      <c r="O78" s="14"/>
      <c r="P78" s="14" t="s">
        <v>71</v>
      </c>
      <c r="Q78" s="14" t="s">
        <v>72</v>
      </c>
    </row>
    <row r="79" customFormat="false" ht="22.35" hidden="false" customHeight="false" outlineLevel="0" collapsed="false">
      <c r="A79" s="14" t="n">
        <v>78</v>
      </c>
      <c r="B79" s="14" t="s">
        <v>479</v>
      </c>
      <c r="C79" s="14" t="s">
        <v>480</v>
      </c>
      <c r="D79" s="14" t="s">
        <v>19</v>
      </c>
      <c r="E79" s="14" t="s">
        <v>61</v>
      </c>
      <c r="F79" s="14" t="s">
        <v>62</v>
      </c>
      <c r="G79" s="14" t="s">
        <v>63</v>
      </c>
      <c r="H79" s="14" t="s">
        <v>450</v>
      </c>
      <c r="I79" s="14" t="s">
        <v>79</v>
      </c>
      <c r="J79" s="14" t="s">
        <v>66</v>
      </c>
      <c r="K79" s="17" t="n">
        <v>2</v>
      </c>
      <c r="L79" s="14" t="s">
        <v>67</v>
      </c>
      <c r="M79" s="14" t="s">
        <v>68</v>
      </c>
      <c r="N79" s="14" t="s">
        <v>389</v>
      </c>
      <c r="O79" s="14"/>
      <c r="P79" s="14" t="s">
        <v>71</v>
      </c>
      <c r="Q79" s="14" t="s">
        <v>72</v>
      </c>
    </row>
    <row r="80" customFormat="false" ht="22.35" hidden="false" customHeight="false" outlineLevel="0" collapsed="false">
      <c r="A80" s="14" t="n">
        <v>79</v>
      </c>
      <c r="B80" s="14" t="s">
        <v>481</v>
      </c>
      <c r="C80" s="14" t="s">
        <v>482</v>
      </c>
      <c r="D80" s="14" t="s">
        <v>19</v>
      </c>
      <c r="E80" s="14" t="s">
        <v>483</v>
      </c>
      <c r="F80" s="14" t="s">
        <v>76</v>
      </c>
      <c r="G80" s="14" t="s">
        <v>77</v>
      </c>
      <c r="H80" s="14" t="s">
        <v>450</v>
      </c>
      <c r="I80" s="14" t="s">
        <v>79</v>
      </c>
      <c r="J80" s="14" t="s">
        <v>66</v>
      </c>
      <c r="K80" s="17" t="n">
        <v>2</v>
      </c>
      <c r="L80" s="14" t="s">
        <v>67</v>
      </c>
      <c r="M80" s="14" t="s">
        <v>72</v>
      </c>
      <c r="N80" s="14" t="s">
        <v>389</v>
      </c>
      <c r="O80" s="14"/>
      <c r="P80" s="14" t="s">
        <v>90</v>
      </c>
      <c r="Q80" s="14" t="s">
        <v>72</v>
      </c>
    </row>
    <row r="81" customFormat="false" ht="22.35" hidden="false" customHeight="false" outlineLevel="0" collapsed="false">
      <c r="A81" s="14" t="n">
        <v>80</v>
      </c>
      <c r="B81" s="14" t="s">
        <v>484</v>
      </c>
      <c r="C81" s="14" t="s">
        <v>60</v>
      </c>
      <c r="D81" s="14" t="s">
        <v>39</v>
      </c>
      <c r="E81" s="14" t="s">
        <v>485</v>
      </c>
      <c r="F81" s="14" t="s">
        <v>215</v>
      </c>
      <c r="G81" s="14" t="s">
        <v>77</v>
      </c>
      <c r="H81" s="14" t="s">
        <v>486</v>
      </c>
      <c r="I81" s="14" t="s">
        <v>487</v>
      </c>
      <c r="J81" s="14" t="s">
        <v>488</v>
      </c>
      <c r="K81" s="17" t="n">
        <v>2</v>
      </c>
      <c r="L81" s="14" t="s">
        <v>67</v>
      </c>
      <c r="M81" s="14" t="s">
        <v>68</v>
      </c>
      <c r="N81" s="14" t="s">
        <v>389</v>
      </c>
      <c r="O81" s="14" t="s">
        <v>70</v>
      </c>
      <c r="P81" s="14" t="s">
        <v>71</v>
      </c>
      <c r="Q81" s="14" t="s">
        <v>72</v>
      </c>
    </row>
    <row r="82" customFormat="false" ht="22.35" hidden="false" customHeight="false" outlineLevel="0" collapsed="false">
      <c r="A82" s="14" t="n">
        <v>81</v>
      </c>
      <c r="B82" s="14" t="s">
        <v>489</v>
      </c>
      <c r="C82" s="14"/>
      <c r="D82" s="14" t="s">
        <v>39</v>
      </c>
      <c r="E82" s="14" t="s">
        <v>485</v>
      </c>
      <c r="F82" s="14" t="s">
        <v>215</v>
      </c>
      <c r="G82" s="14" t="s">
        <v>77</v>
      </c>
      <c r="H82" s="14" t="s">
        <v>486</v>
      </c>
      <c r="I82" s="14" t="s">
        <v>487</v>
      </c>
      <c r="J82" s="14" t="s">
        <v>488</v>
      </c>
      <c r="K82" s="17" t="n">
        <v>2</v>
      </c>
      <c r="L82" s="14" t="s">
        <v>67</v>
      </c>
      <c r="M82" s="14" t="s">
        <v>68</v>
      </c>
      <c r="N82" s="14" t="s">
        <v>389</v>
      </c>
      <c r="O82" s="14"/>
      <c r="P82" s="14" t="s">
        <v>71</v>
      </c>
      <c r="Q82" s="14" t="s">
        <v>72</v>
      </c>
    </row>
    <row r="83" customFormat="false" ht="22.35" hidden="false" customHeight="false" outlineLevel="0" collapsed="false">
      <c r="A83" s="14" t="n">
        <v>82</v>
      </c>
      <c r="B83" s="14" t="s">
        <v>490</v>
      </c>
      <c r="C83" s="14" t="s">
        <v>491</v>
      </c>
      <c r="D83" s="14" t="s">
        <v>21</v>
      </c>
      <c r="E83" s="14" t="s">
        <v>21</v>
      </c>
      <c r="F83" s="14" t="s">
        <v>492</v>
      </c>
      <c r="G83" s="14" t="s">
        <v>493</v>
      </c>
      <c r="H83" s="14" t="s">
        <v>494</v>
      </c>
      <c r="I83" s="14" t="s">
        <v>85</v>
      </c>
      <c r="J83" s="14" t="s">
        <v>86</v>
      </c>
      <c r="K83" s="17" t="n">
        <v>2</v>
      </c>
      <c r="L83" s="14" t="s">
        <v>67</v>
      </c>
      <c r="M83" s="14" t="s">
        <v>68</v>
      </c>
      <c r="N83" s="14" t="s">
        <v>389</v>
      </c>
      <c r="O83" s="14"/>
      <c r="P83" s="14" t="s">
        <v>71</v>
      </c>
      <c r="Q83" s="14" t="s">
        <v>72</v>
      </c>
    </row>
    <row r="84" customFormat="false" ht="22.35" hidden="false" customHeight="false" outlineLevel="0" collapsed="false">
      <c r="A84" s="14" t="n">
        <v>83</v>
      </c>
      <c r="B84" s="14" t="s">
        <v>495</v>
      </c>
      <c r="C84" s="14" t="s">
        <v>496</v>
      </c>
      <c r="D84" s="14" t="s">
        <v>21</v>
      </c>
      <c r="E84" s="14" t="s">
        <v>21</v>
      </c>
      <c r="F84" s="14" t="s">
        <v>497</v>
      </c>
      <c r="G84" s="14" t="s">
        <v>63</v>
      </c>
      <c r="H84" s="14" t="s">
        <v>494</v>
      </c>
      <c r="I84" s="14" t="s">
        <v>85</v>
      </c>
      <c r="J84" s="14" t="s">
        <v>86</v>
      </c>
      <c r="K84" s="17" t="n">
        <v>2</v>
      </c>
      <c r="L84" s="14" t="s">
        <v>67</v>
      </c>
      <c r="M84" s="14" t="s">
        <v>68</v>
      </c>
      <c r="N84" s="14" t="s">
        <v>389</v>
      </c>
      <c r="O84" s="14"/>
      <c r="P84" s="14" t="s">
        <v>71</v>
      </c>
      <c r="Q84" s="14" t="s">
        <v>72</v>
      </c>
    </row>
    <row r="85" customFormat="false" ht="22.35" hidden="false" customHeight="false" outlineLevel="0" collapsed="false">
      <c r="A85" s="14" t="n">
        <v>84</v>
      </c>
      <c r="B85" s="14" t="s">
        <v>498</v>
      </c>
      <c r="C85" s="14" t="s">
        <v>499</v>
      </c>
      <c r="D85" s="14" t="s">
        <v>21</v>
      </c>
      <c r="E85" s="14" t="s">
        <v>21</v>
      </c>
      <c r="F85" s="14" t="s">
        <v>500</v>
      </c>
      <c r="G85" s="14" t="s">
        <v>63</v>
      </c>
      <c r="H85" s="14" t="s">
        <v>494</v>
      </c>
      <c r="I85" s="14" t="s">
        <v>85</v>
      </c>
      <c r="J85" s="14" t="s">
        <v>86</v>
      </c>
      <c r="K85" s="17" t="n">
        <v>2</v>
      </c>
      <c r="L85" s="14" t="s">
        <v>67</v>
      </c>
      <c r="M85" s="14" t="s">
        <v>68</v>
      </c>
      <c r="N85" s="14" t="s">
        <v>389</v>
      </c>
      <c r="O85" s="14"/>
      <c r="P85" s="14" t="s">
        <v>71</v>
      </c>
      <c r="Q85" s="14" t="s">
        <v>72</v>
      </c>
    </row>
    <row r="86" customFormat="false" ht="22.35" hidden="false" customHeight="false" outlineLevel="0" collapsed="false">
      <c r="A86" s="14" t="n">
        <v>85</v>
      </c>
      <c r="B86" s="14" t="s">
        <v>501</v>
      </c>
      <c r="C86" s="14"/>
      <c r="D86" s="14" t="s">
        <v>21</v>
      </c>
      <c r="E86" s="14" t="s">
        <v>21</v>
      </c>
      <c r="F86" s="14" t="s">
        <v>502</v>
      </c>
      <c r="G86" s="14" t="s">
        <v>63</v>
      </c>
      <c r="H86" s="14" t="s">
        <v>494</v>
      </c>
      <c r="I86" s="14" t="s">
        <v>85</v>
      </c>
      <c r="J86" s="14" t="s">
        <v>86</v>
      </c>
      <c r="K86" s="17" t="n">
        <v>2</v>
      </c>
      <c r="L86" s="14" t="s">
        <v>67</v>
      </c>
      <c r="M86" s="14" t="s">
        <v>68</v>
      </c>
      <c r="N86" s="14" t="s">
        <v>389</v>
      </c>
      <c r="O86" s="14"/>
      <c r="P86" s="14" t="s">
        <v>71</v>
      </c>
      <c r="Q86" s="14" t="s">
        <v>72</v>
      </c>
    </row>
    <row r="87" customFormat="false" ht="22.35" hidden="false" customHeight="false" outlineLevel="0" collapsed="false">
      <c r="A87" s="14" t="n">
        <v>86</v>
      </c>
      <c r="B87" s="14" t="s">
        <v>503</v>
      </c>
      <c r="C87" s="14"/>
      <c r="D87" s="14" t="s">
        <v>21</v>
      </c>
      <c r="E87" s="14" t="s">
        <v>21</v>
      </c>
      <c r="F87" s="14" t="s">
        <v>504</v>
      </c>
      <c r="G87" s="14" t="s">
        <v>493</v>
      </c>
      <c r="H87" s="14" t="s">
        <v>494</v>
      </c>
      <c r="I87" s="14" t="s">
        <v>85</v>
      </c>
      <c r="J87" s="14" t="s">
        <v>86</v>
      </c>
      <c r="K87" s="17" t="n">
        <v>2</v>
      </c>
      <c r="L87" s="14" t="s">
        <v>67</v>
      </c>
      <c r="M87" s="14" t="s">
        <v>68</v>
      </c>
      <c r="N87" s="14" t="s">
        <v>389</v>
      </c>
      <c r="O87" s="14"/>
      <c r="P87" s="14" t="s">
        <v>71</v>
      </c>
      <c r="Q87" s="14" t="s">
        <v>72</v>
      </c>
    </row>
    <row r="88" customFormat="false" ht="22.35" hidden="false" customHeight="false" outlineLevel="0" collapsed="false">
      <c r="A88" s="14" t="n">
        <v>87</v>
      </c>
      <c r="B88" s="14" t="s">
        <v>505</v>
      </c>
      <c r="C88" s="14" t="s">
        <v>468</v>
      </c>
      <c r="D88" s="14" t="s">
        <v>21</v>
      </c>
      <c r="E88" s="14" t="s">
        <v>21</v>
      </c>
      <c r="F88" s="14" t="s">
        <v>506</v>
      </c>
      <c r="G88" s="14" t="s">
        <v>493</v>
      </c>
      <c r="H88" s="14" t="s">
        <v>494</v>
      </c>
      <c r="I88" s="14" t="s">
        <v>85</v>
      </c>
      <c r="J88" s="14" t="s">
        <v>86</v>
      </c>
      <c r="K88" s="17" t="n">
        <v>2</v>
      </c>
      <c r="L88" s="14" t="s">
        <v>67</v>
      </c>
      <c r="M88" s="14" t="s">
        <v>68</v>
      </c>
      <c r="N88" s="14" t="s">
        <v>389</v>
      </c>
      <c r="O88" s="14" t="s">
        <v>507</v>
      </c>
      <c r="P88" s="14" t="s">
        <v>71</v>
      </c>
      <c r="Q88" s="14" t="s">
        <v>72</v>
      </c>
    </row>
    <row r="89" customFormat="false" ht="22.35" hidden="false" customHeight="false" outlineLevel="0" collapsed="false">
      <c r="A89" s="14" t="n">
        <v>88</v>
      </c>
      <c r="B89" s="14" t="s">
        <v>508</v>
      </c>
      <c r="C89" s="14" t="s">
        <v>509</v>
      </c>
      <c r="D89" s="14" t="s">
        <v>17</v>
      </c>
      <c r="E89" s="14" t="s">
        <v>510</v>
      </c>
      <c r="F89" s="14" t="s">
        <v>62</v>
      </c>
      <c r="G89" s="14" t="s">
        <v>63</v>
      </c>
      <c r="H89" s="14" t="s">
        <v>511</v>
      </c>
      <c r="I89" s="14" t="s">
        <v>118</v>
      </c>
      <c r="J89" s="14" t="s">
        <v>119</v>
      </c>
      <c r="K89" s="17" t="n">
        <v>2</v>
      </c>
      <c r="L89" s="14" t="s">
        <v>67</v>
      </c>
      <c r="M89" s="14" t="s">
        <v>68</v>
      </c>
      <c r="N89" s="14" t="s">
        <v>389</v>
      </c>
      <c r="O89" s="14"/>
      <c r="P89" s="14" t="s">
        <v>71</v>
      </c>
      <c r="Q89" s="14" t="s">
        <v>72</v>
      </c>
    </row>
    <row r="90" customFormat="false" ht="22.35" hidden="false" customHeight="false" outlineLevel="0" collapsed="false">
      <c r="A90" s="14" t="n">
        <v>89</v>
      </c>
      <c r="B90" s="14" t="s">
        <v>512</v>
      </c>
      <c r="C90" s="14" t="s">
        <v>513</v>
      </c>
      <c r="D90" s="14" t="s">
        <v>17</v>
      </c>
      <c r="E90" s="14" t="s">
        <v>514</v>
      </c>
      <c r="F90" s="14" t="s">
        <v>215</v>
      </c>
      <c r="G90" s="14" t="s">
        <v>77</v>
      </c>
      <c r="H90" s="14" t="s">
        <v>511</v>
      </c>
      <c r="I90" s="14" t="s">
        <v>118</v>
      </c>
      <c r="J90" s="14" t="s">
        <v>119</v>
      </c>
      <c r="K90" s="17" t="n">
        <v>2</v>
      </c>
      <c r="L90" s="14" t="s">
        <v>67</v>
      </c>
      <c r="M90" s="14" t="s">
        <v>68</v>
      </c>
      <c r="N90" s="14" t="s">
        <v>389</v>
      </c>
      <c r="O90" s="14"/>
      <c r="P90" s="14" t="s">
        <v>71</v>
      </c>
      <c r="Q90" s="14" t="s">
        <v>72</v>
      </c>
    </row>
    <row r="91" customFormat="false" ht="22.35" hidden="false" customHeight="false" outlineLevel="0" collapsed="false">
      <c r="A91" s="14" t="n">
        <v>90</v>
      </c>
      <c r="B91" s="14" t="s">
        <v>515</v>
      </c>
      <c r="C91" s="14" t="s">
        <v>516</v>
      </c>
      <c r="D91" s="14" t="s">
        <v>17</v>
      </c>
      <c r="E91" s="14" t="s">
        <v>517</v>
      </c>
      <c r="F91" s="14" t="s">
        <v>215</v>
      </c>
      <c r="G91" s="14" t="s">
        <v>77</v>
      </c>
      <c r="H91" s="14" t="s">
        <v>511</v>
      </c>
      <c r="I91" s="14" t="s">
        <v>118</v>
      </c>
      <c r="J91" s="14" t="s">
        <v>119</v>
      </c>
      <c r="K91" s="17" t="n">
        <v>2</v>
      </c>
      <c r="L91" s="14" t="s">
        <v>67</v>
      </c>
      <c r="M91" s="14" t="s">
        <v>68</v>
      </c>
      <c r="N91" s="14" t="s">
        <v>389</v>
      </c>
      <c r="O91" s="14"/>
      <c r="P91" s="14" t="s">
        <v>71</v>
      </c>
      <c r="Q91" s="14" t="s">
        <v>72</v>
      </c>
    </row>
    <row r="92" customFormat="false" ht="22.35" hidden="false" customHeight="false" outlineLevel="0" collapsed="false">
      <c r="A92" s="14" t="n">
        <v>91</v>
      </c>
      <c r="B92" s="14" t="s">
        <v>518</v>
      </c>
      <c r="C92" s="14"/>
      <c r="D92" s="14" t="s">
        <v>17</v>
      </c>
      <c r="E92" s="14" t="s">
        <v>519</v>
      </c>
      <c r="F92" s="14" t="s">
        <v>520</v>
      </c>
      <c r="G92" s="14" t="s">
        <v>493</v>
      </c>
      <c r="H92" s="14" t="s">
        <v>511</v>
      </c>
      <c r="I92" s="14" t="s">
        <v>118</v>
      </c>
      <c r="J92" s="14" t="s">
        <v>119</v>
      </c>
      <c r="K92" s="17" t="n">
        <v>2</v>
      </c>
      <c r="L92" s="14" t="s">
        <v>67</v>
      </c>
      <c r="M92" s="14" t="s">
        <v>521</v>
      </c>
      <c r="N92" s="14" t="s">
        <v>389</v>
      </c>
      <c r="O92" s="14"/>
      <c r="P92" s="14" t="s">
        <v>90</v>
      </c>
      <c r="Q92" s="16" t="s">
        <v>522</v>
      </c>
    </row>
    <row r="93" customFormat="false" ht="22.35" hidden="false" customHeight="false" outlineLevel="0" collapsed="false">
      <c r="A93" s="14" t="n">
        <v>92</v>
      </c>
      <c r="B93" s="14" t="s">
        <v>523</v>
      </c>
      <c r="C93" s="14" t="s">
        <v>138</v>
      </c>
      <c r="D93" s="14" t="s">
        <v>17</v>
      </c>
      <c r="E93" s="14" t="s">
        <v>524</v>
      </c>
      <c r="F93" s="14" t="s">
        <v>188</v>
      </c>
      <c r="G93" s="14" t="s">
        <v>63</v>
      </c>
      <c r="H93" s="14" t="s">
        <v>511</v>
      </c>
      <c r="I93" s="14" t="s">
        <v>118</v>
      </c>
      <c r="J93" s="14" t="s">
        <v>119</v>
      </c>
      <c r="K93" s="17" t="n">
        <v>2</v>
      </c>
      <c r="L93" s="14" t="s">
        <v>67</v>
      </c>
      <c r="M93" s="14" t="s">
        <v>68</v>
      </c>
      <c r="N93" s="14" t="s">
        <v>389</v>
      </c>
      <c r="O93" s="14"/>
      <c r="P93" s="14" t="s">
        <v>71</v>
      </c>
      <c r="Q93" s="14" t="s">
        <v>72</v>
      </c>
    </row>
    <row r="94" customFormat="false" ht="22.35" hidden="false" customHeight="false" outlineLevel="0" collapsed="false">
      <c r="A94" s="14" t="n">
        <v>93</v>
      </c>
      <c r="B94" s="14" t="s">
        <v>525</v>
      </c>
      <c r="C94" s="14" t="s">
        <v>526</v>
      </c>
      <c r="D94" s="14" t="s">
        <v>17</v>
      </c>
      <c r="E94" s="14" t="s">
        <v>527</v>
      </c>
      <c r="F94" s="14" t="s">
        <v>215</v>
      </c>
      <c r="G94" s="14" t="s">
        <v>77</v>
      </c>
      <c r="H94" s="14" t="s">
        <v>511</v>
      </c>
      <c r="I94" s="14" t="s">
        <v>118</v>
      </c>
      <c r="J94" s="14" t="s">
        <v>119</v>
      </c>
      <c r="K94" s="17" t="n">
        <v>2</v>
      </c>
      <c r="L94" s="14" t="s">
        <v>67</v>
      </c>
      <c r="M94" s="14" t="s">
        <v>68</v>
      </c>
      <c r="N94" s="14" t="s">
        <v>389</v>
      </c>
      <c r="O94" s="14"/>
      <c r="P94" s="14" t="s">
        <v>71</v>
      </c>
      <c r="Q94" s="14" t="s">
        <v>72</v>
      </c>
    </row>
    <row r="95" customFormat="false" ht="22.35" hidden="false" customHeight="false" outlineLevel="0" collapsed="false">
      <c r="A95" s="14" t="n">
        <v>94</v>
      </c>
      <c r="B95" s="14" t="s">
        <v>528</v>
      </c>
      <c r="C95" s="14" t="s">
        <v>529</v>
      </c>
      <c r="D95" s="14" t="s">
        <v>17</v>
      </c>
      <c r="E95" s="14" t="s">
        <v>530</v>
      </c>
      <c r="F95" s="14" t="s">
        <v>531</v>
      </c>
      <c r="G95" s="14" t="s">
        <v>307</v>
      </c>
      <c r="H95" s="14" t="s">
        <v>511</v>
      </c>
      <c r="I95" s="14" t="s">
        <v>118</v>
      </c>
      <c r="J95" s="14" t="s">
        <v>119</v>
      </c>
      <c r="K95" s="17" t="n">
        <v>2</v>
      </c>
      <c r="L95" s="14" t="s">
        <v>67</v>
      </c>
      <c r="M95" s="14" t="s">
        <v>68</v>
      </c>
      <c r="N95" s="14" t="s">
        <v>389</v>
      </c>
      <c r="O95" s="14" t="s">
        <v>532</v>
      </c>
      <c r="P95" s="14" t="s">
        <v>71</v>
      </c>
      <c r="Q95" s="14" t="s">
        <v>72</v>
      </c>
    </row>
    <row r="96" customFormat="false" ht="22.35" hidden="false" customHeight="false" outlineLevel="0" collapsed="false">
      <c r="A96" s="14" t="n">
        <v>95</v>
      </c>
      <c r="B96" s="14" t="s">
        <v>533</v>
      </c>
      <c r="C96" s="14" t="s">
        <v>193</v>
      </c>
      <c r="D96" s="14" t="s">
        <v>17</v>
      </c>
      <c r="E96" s="14" t="s">
        <v>534</v>
      </c>
      <c r="F96" s="14" t="s">
        <v>535</v>
      </c>
      <c r="G96" s="14" t="s">
        <v>63</v>
      </c>
      <c r="H96" s="14" t="s">
        <v>511</v>
      </c>
      <c r="I96" s="14" t="s">
        <v>118</v>
      </c>
      <c r="J96" s="14" t="s">
        <v>119</v>
      </c>
      <c r="K96" s="17" t="n">
        <v>2</v>
      </c>
      <c r="L96" s="14" t="s">
        <v>67</v>
      </c>
      <c r="M96" s="14" t="s">
        <v>68</v>
      </c>
      <c r="N96" s="14" t="s">
        <v>389</v>
      </c>
      <c r="O96" s="14"/>
      <c r="P96" s="14" t="s">
        <v>71</v>
      </c>
      <c r="Q96" s="14" t="s">
        <v>72</v>
      </c>
    </row>
    <row r="97" customFormat="false" ht="22.35" hidden="false" customHeight="false" outlineLevel="0" collapsed="false">
      <c r="A97" s="14" t="n">
        <v>96</v>
      </c>
      <c r="B97" s="14" t="s">
        <v>536</v>
      </c>
      <c r="C97" s="14" t="s">
        <v>193</v>
      </c>
      <c r="D97" s="14" t="s">
        <v>17</v>
      </c>
      <c r="E97" s="14" t="s">
        <v>537</v>
      </c>
      <c r="F97" s="14" t="s">
        <v>62</v>
      </c>
      <c r="G97" s="14" t="s">
        <v>63</v>
      </c>
      <c r="H97" s="14" t="s">
        <v>511</v>
      </c>
      <c r="I97" s="14" t="s">
        <v>118</v>
      </c>
      <c r="J97" s="14" t="s">
        <v>119</v>
      </c>
      <c r="K97" s="17" t="n">
        <v>2</v>
      </c>
      <c r="L97" s="14" t="s">
        <v>67</v>
      </c>
      <c r="M97" s="14" t="s">
        <v>521</v>
      </c>
      <c r="N97" s="14" t="s">
        <v>389</v>
      </c>
      <c r="O97" s="14" t="s">
        <v>538</v>
      </c>
      <c r="P97" s="14" t="s">
        <v>90</v>
      </c>
      <c r="Q97" s="16" t="s">
        <v>522</v>
      </c>
    </row>
    <row r="98" customFormat="false" ht="22.35" hidden="false" customHeight="false" outlineLevel="0" collapsed="false">
      <c r="A98" s="14" t="n">
        <v>97</v>
      </c>
      <c r="B98" s="14" t="s">
        <v>539</v>
      </c>
      <c r="C98" s="14"/>
      <c r="D98" s="14" t="s">
        <v>17</v>
      </c>
      <c r="E98" s="14" t="s">
        <v>540</v>
      </c>
      <c r="F98" s="14" t="s">
        <v>502</v>
      </c>
      <c r="G98" s="14" t="s">
        <v>63</v>
      </c>
      <c r="H98" s="14" t="s">
        <v>511</v>
      </c>
      <c r="I98" s="14" t="s">
        <v>118</v>
      </c>
      <c r="J98" s="14" t="s">
        <v>119</v>
      </c>
      <c r="K98" s="17" t="n">
        <v>2</v>
      </c>
      <c r="L98" s="14" t="s">
        <v>67</v>
      </c>
      <c r="M98" s="14" t="s">
        <v>68</v>
      </c>
      <c r="N98" s="14" t="s">
        <v>389</v>
      </c>
      <c r="O98" s="14"/>
      <c r="P98" s="14" t="s">
        <v>71</v>
      </c>
      <c r="Q98" s="14" t="s">
        <v>72</v>
      </c>
    </row>
    <row r="99" customFormat="false" ht="22.35" hidden="false" customHeight="false" outlineLevel="0" collapsed="false">
      <c r="A99" s="14" t="n">
        <v>98</v>
      </c>
      <c r="B99" s="14" t="s">
        <v>541</v>
      </c>
      <c r="C99" s="14" t="s">
        <v>542</v>
      </c>
      <c r="D99" s="14" t="s">
        <v>17</v>
      </c>
      <c r="E99" s="14" t="s">
        <v>543</v>
      </c>
      <c r="F99" s="14" t="s">
        <v>188</v>
      </c>
      <c r="G99" s="14" t="s">
        <v>63</v>
      </c>
      <c r="H99" s="14" t="s">
        <v>511</v>
      </c>
      <c r="I99" s="14" t="s">
        <v>118</v>
      </c>
      <c r="J99" s="14" t="s">
        <v>119</v>
      </c>
      <c r="K99" s="17" t="n">
        <v>2</v>
      </c>
      <c r="L99" s="14" t="s">
        <v>67</v>
      </c>
      <c r="M99" s="14" t="s">
        <v>68</v>
      </c>
      <c r="N99" s="14" t="s">
        <v>389</v>
      </c>
      <c r="O99" s="14"/>
      <c r="P99" s="14" t="s">
        <v>71</v>
      </c>
      <c r="Q99" s="14" t="s">
        <v>72</v>
      </c>
    </row>
    <row r="100" customFormat="false" ht="22.35" hidden="false" customHeight="false" outlineLevel="0" collapsed="false">
      <c r="A100" s="14" t="n">
        <v>99</v>
      </c>
      <c r="B100" s="14" t="s">
        <v>544</v>
      </c>
      <c r="C100" s="14" t="s">
        <v>545</v>
      </c>
      <c r="D100" s="14" t="s">
        <v>17</v>
      </c>
      <c r="E100" s="14" t="s">
        <v>546</v>
      </c>
      <c r="F100" s="14" t="s">
        <v>188</v>
      </c>
      <c r="G100" s="14" t="s">
        <v>63</v>
      </c>
      <c r="H100" s="14" t="s">
        <v>511</v>
      </c>
      <c r="I100" s="14" t="s">
        <v>118</v>
      </c>
      <c r="J100" s="14" t="s">
        <v>119</v>
      </c>
      <c r="K100" s="17" t="n">
        <v>2</v>
      </c>
      <c r="L100" s="14" t="s">
        <v>67</v>
      </c>
      <c r="M100" s="14" t="s">
        <v>521</v>
      </c>
      <c r="N100" s="14" t="s">
        <v>389</v>
      </c>
      <c r="O100" s="14" t="s">
        <v>547</v>
      </c>
      <c r="P100" s="14" t="s">
        <v>90</v>
      </c>
      <c r="Q100" s="16" t="s">
        <v>522</v>
      </c>
    </row>
    <row r="101" customFormat="false" ht="22.35" hidden="false" customHeight="false" outlineLevel="0" collapsed="false">
      <c r="A101" s="14" t="n">
        <v>100</v>
      </c>
      <c r="B101" s="14" t="s">
        <v>548</v>
      </c>
      <c r="C101" s="14"/>
      <c r="D101" s="14" t="s">
        <v>17</v>
      </c>
      <c r="E101" s="14" t="s">
        <v>549</v>
      </c>
      <c r="F101" s="14" t="s">
        <v>550</v>
      </c>
      <c r="G101" s="14" t="s">
        <v>77</v>
      </c>
      <c r="H101" s="14" t="s">
        <v>511</v>
      </c>
      <c r="I101" s="14" t="s">
        <v>118</v>
      </c>
      <c r="J101" s="14" t="s">
        <v>119</v>
      </c>
      <c r="K101" s="17" t="n">
        <v>2</v>
      </c>
      <c r="L101" s="14" t="s">
        <v>67</v>
      </c>
      <c r="M101" s="14" t="s">
        <v>68</v>
      </c>
      <c r="N101" s="14" t="s">
        <v>389</v>
      </c>
      <c r="O101" s="14"/>
      <c r="P101" s="14" t="s">
        <v>71</v>
      </c>
      <c r="Q101" s="14" t="s">
        <v>72</v>
      </c>
    </row>
    <row r="102" customFormat="false" ht="22.35" hidden="false" customHeight="false" outlineLevel="0" collapsed="false">
      <c r="A102" s="14" t="n">
        <v>101</v>
      </c>
      <c r="B102" s="14" t="s">
        <v>551</v>
      </c>
      <c r="C102" s="14"/>
      <c r="D102" s="14" t="s">
        <v>17</v>
      </c>
      <c r="E102" s="14" t="s">
        <v>552</v>
      </c>
      <c r="F102" s="14" t="s">
        <v>553</v>
      </c>
      <c r="G102" s="14"/>
      <c r="H102" s="14" t="s">
        <v>511</v>
      </c>
      <c r="I102" s="14" t="s">
        <v>118</v>
      </c>
      <c r="J102" s="14" t="s">
        <v>119</v>
      </c>
      <c r="K102" s="17" t="n">
        <v>2</v>
      </c>
      <c r="L102" s="14" t="s">
        <v>67</v>
      </c>
      <c r="M102" s="14" t="s">
        <v>521</v>
      </c>
      <c r="N102" s="14" t="s">
        <v>389</v>
      </c>
      <c r="O102" s="14" t="s">
        <v>554</v>
      </c>
      <c r="P102" s="14" t="s">
        <v>90</v>
      </c>
      <c r="Q102" s="16" t="s">
        <v>522</v>
      </c>
    </row>
    <row r="103" customFormat="false" ht="22.35" hidden="false" customHeight="false" outlineLevel="0" collapsed="false">
      <c r="A103" s="14" t="n">
        <v>102</v>
      </c>
      <c r="B103" s="14" t="s">
        <v>555</v>
      </c>
      <c r="C103" s="14" t="s">
        <v>134</v>
      </c>
      <c r="D103" s="14" t="s">
        <v>17</v>
      </c>
      <c r="E103" s="14" t="s">
        <v>524</v>
      </c>
      <c r="F103" s="14" t="s">
        <v>135</v>
      </c>
      <c r="G103" s="14" t="s">
        <v>63</v>
      </c>
      <c r="H103" s="14" t="s">
        <v>511</v>
      </c>
      <c r="I103" s="14" t="s">
        <v>118</v>
      </c>
      <c r="J103" s="14" t="s">
        <v>119</v>
      </c>
      <c r="K103" s="17" t="n">
        <v>2</v>
      </c>
      <c r="L103" s="14" t="s">
        <v>67</v>
      </c>
      <c r="M103" s="14" t="s">
        <v>68</v>
      </c>
      <c r="N103" s="14" t="s">
        <v>389</v>
      </c>
      <c r="O103" s="14"/>
      <c r="P103" s="14" t="s">
        <v>71</v>
      </c>
      <c r="Q103" s="14" t="s">
        <v>72</v>
      </c>
    </row>
    <row r="104" customFormat="false" ht="22.35" hidden="false" customHeight="false" outlineLevel="0" collapsed="false">
      <c r="A104" s="14" t="n">
        <v>103</v>
      </c>
      <c r="B104" s="14" t="s">
        <v>556</v>
      </c>
      <c r="C104" s="14" t="s">
        <v>557</v>
      </c>
      <c r="D104" s="14" t="s">
        <v>17</v>
      </c>
      <c r="E104" s="14" t="s">
        <v>558</v>
      </c>
      <c r="F104" s="14" t="s">
        <v>559</v>
      </c>
      <c r="G104" s="14" t="s">
        <v>63</v>
      </c>
      <c r="H104" s="14" t="s">
        <v>511</v>
      </c>
      <c r="I104" s="14" t="s">
        <v>118</v>
      </c>
      <c r="J104" s="14" t="s">
        <v>119</v>
      </c>
      <c r="K104" s="17" t="n">
        <v>2</v>
      </c>
      <c r="L104" s="14" t="s">
        <v>67</v>
      </c>
      <c r="M104" s="14" t="s">
        <v>68</v>
      </c>
      <c r="N104" s="14" t="s">
        <v>389</v>
      </c>
      <c r="O104" s="14"/>
      <c r="P104" s="14" t="s">
        <v>71</v>
      </c>
      <c r="Q104" s="14" t="s">
        <v>72</v>
      </c>
    </row>
    <row r="105" customFormat="false" ht="22.35" hidden="false" customHeight="false" outlineLevel="0" collapsed="false">
      <c r="A105" s="14" t="n">
        <v>104</v>
      </c>
      <c r="B105" s="14" t="s">
        <v>560</v>
      </c>
      <c r="C105" s="14"/>
      <c r="D105" s="14" t="s">
        <v>29</v>
      </c>
      <c r="E105" s="14" t="s">
        <v>154</v>
      </c>
      <c r="F105" s="14" t="s">
        <v>62</v>
      </c>
      <c r="G105" s="14" t="s">
        <v>63</v>
      </c>
      <c r="H105" s="14" t="s">
        <v>561</v>
      </c>
      <c r="I105" s="14" t="s">
        <v>562</v>
      </c>
      <c r="J105" s="14" t="s">
        <v>563</v>
      </c>
      <c r="K105" s="17" t="n">
        <v>2</v>
      </c>
      <c r="L105" s="14" t="s">
        <v>67</v>
      </c>
      <c r="M105" s="14" t="s">
        <v>68</v>
      </c>
      <c r="N105" s="14" t="s">
        <v>389</v>
      </c>
      <c r="O105" s="14"/>
      <c r="P105" s="14" t="s">
        <v>71</v>
      </c>
      <c r="Q105" s="14" t="s">
        <v>72</v>
      </c>
    </row>
    <row r="106" customFormat="false" ht="22.35" hidden="false" customHeight="false" outlineLevel="0" collapsed="false">
      <c r="A106" s="14" t="n">
        <v>105</v>
      </c>
      <c r="B106" s="14" t="s">
        <v>564</v>
      </c>
      <c r="C106" s="14" t="s">
        <v>565</v>
      </c>
      <c r="D106" s="14" t="s">
        <v>29</v>
      </c>
      <c r="E106" s="14" t="s">
        <v>154</v>
      </c>
      <c r="F106" s="14" t="s">
        <v>62</v>
      </c>
      <c r="G106" s="14" t="s">
        <v>63</v>
      </c>
      <c r="H106" s="14" t="s">
        <v>561</v>
      </c>
      <c r="I106" s="14" t="s">
        <v>562</v>
      </c>
      <c r="J106" s="14" t="s">
        <v>563</v>
      </c>
      <c r="K106" s="17" t="n">
        <v>2</v>
      </c>
      <c r="L106" s="14" t="s">
        <v>67</v>
      </c>
      <c r="M106" s="14" t="s">
        <v>68</v>
      </c>
      <c r="N106" s="14" t="s">
        <v>389</v>
      </c>
      <c r="O106" s="14"/>
      <c r="P106" s="14" t="s">
        <v>71</v>
      </c>
      <c r="Q106" s="14" t="s">
        <v>72</v>
      </c>
    </row>
    <row r="107" customFormat="false" ht="22.35" hidden="false" customHeight="false" outlineLevel="0" collapsed="false">
      <c r="A107" s="14" t="n">
        <v>106</v>
      </c>
      <c r="B107" s="14" t="s">
        <v>566</v>
      </c>
      <c r="C107" s="14"/>
      <c r="D107" s="14" t="s">
        <v>29</v>
      </c>
      <c r="E107" s="14" t="s">
        <v>154</v>
      </c>
      <c r="F107" s="14" t="s">
        <v>215</v>
      </c>
      <c r="G107" s="14" t="s">
        <v>77</v>
      </c>
      <c r="H107" s="14" t="s">
        <v>561</v>
      </c>
      <c r="I107" s="14" t="s">
        <v>562</v>
      </c>
      <c r="J107" s="14" t="s">
        <v>563</v>
      </c>
      <c r="K107" s="17" t="n">
        <v>2</v>
      </c>
      <c r="L107" s="14" t="s">
        <v>67</v>
      </c>
      <c r="M107" s="14" t="s">
        <v>68</v>
      </c>
      <c r="N107" s="14" t="s">
        <v>389</v>
      </c>
      <c r="O107" s="14"/>
      <c r="P107" s="14" t="s">
        <v>71</v>
      </c>
      <c r="Q107" s="14" t="s">
        <v>72</v>
      </c>
    </row>
    <row r="108" customFormat="false" ht="22.35" hidden="false" customHeight="false" outlineLevel="0" collapsed="false">
      <c r="A108" s="14" t="n">
        <v>107</v>
      </c>
      <c r="B108" s="14" t="s">
        <v>567</v>
      </c>
      <c r="C108" s="14" t="s">
        <v>568</v>
      </c>
      <c r="D108" s="14" t="s">
        <v>29</v>
      </c>
      <c r="E108" s="14" t="s">
        <v>569</v>
      </c>
      <c r="F108" s="14" t="s">
        <v>215</v>
      </c>
      <c r="G108" s="14" t="s">
        <v>77</v>
      </c>
      <c r="H108" s="14" t="s">
        <v>561</v>
      </c>
      <c r="I108" s="14" t="s">
        <v>562</v>
      </c>
      <c r="J108" s="14" t="s">
        <v>563</v>
      </c>
      <c r="K108" s="17" t="n">
        <v>2</v>
      </c>
      <c r="L108" s="14" t="s">
        <v>67</v>
      </c>
      <c r="M108" s="14" t="s">
        <v>68</v>
      </c>
      <c r="N108" s="14" t="s">
        <v>389</v>
      </c>
      <c r="O108" s="14"/>
      <c r="P108" s="14" t="s">
        <v>71</v>
      </c>
      <c r="Q108" s="14" t="s">
        <v>72</v>
      </c>
    </row>
    <row r="109" customFormat="false" ht="22.35" hidden="false" customHeight="false" outlineLevel="0" collapsed="false">
      <c r="A109" s="14" t="n">
        <v>108</v>
      </c>
      <c r="B109" s="14" t="s">
        <v>570</v>
      </c>
      <c r="C109" s="14"/>
      <c r="D109" s="14" t="s">
        <v>41</v>
      </c>
      <c r="E109" s="14" t="s">
        <v>571</v>
      </c>
      <c r="F109" s="14" t="s">
        <v>572</v>
      </c>
      <c r="G109" s="14" t="s">
        <v>63</v>
      </c>
      <c r="H109" s="14" t="s">
        <v>573</v>
      </c>
      <c r="I109" s="14" t="s">
        <v>574</v>
      </c>
      <c r="J109" s="14" t="s">
        <v>575</v>
      </c>
      <c r="K109" s="17" t="n">
        <v>2</v>
      </c>
      <c r="L109" s="14" t="s">
        <v>67</v>
      </c>
      <c r="M109" s="14" t="s">
        <v>68</v>
      </c>
      <c r="N109" s="14" t="s">
        <v>389</v>
      </c>
      <c r="O109" s="14"/>
      <c r="P109" s="14" t="s">
        <v>71</v>
      </c>
      <c r="Q109" s="14" t="s">
        <v>72</v>
      </c>
    </row>
    <row r="110" customFormat="false" ht="22.35" hidden="false" customHeight="false" outlineLevel="0" collapsed="false">
      <c r="A110" s="14" t="n">
        <v>109</v>
      </c>
      <c r="B110" s="14" t="s">
        <v>576</v>
      </c>
      <c r="C110" s="14" t="s">
        <v>577</v>
      </c>
      <c r="D110" s="14" t="s">
        <v>41</v>
      </c>
      <c r="E110" s="14" t="s">
        <v>578</v>
      </c>
      <c r="F110" s="14" t="s">
        <v>579</v>
      </c>
      <c r="G110" s="14" t="s">
        <v>63</v>
      </c>
      <c r="H110" s="14" t="s">
        <v>573</v>
      </c>
      <c r="I110" s="14" t="s">
        <v>574</v>
      </c>
      <c r="J110" s="14" t="s">
        <v>575</v>
      </c>
      <c r="K110" s="17" t="n">
        <v>2</v>
      </c>
      <c r="L110" s="14" t="s">
        <v>67</v>
      </c>
      <c r="M110" s="14" t="s">
        <v>68</v>
      </c>
      <c r="N110" s="14" t="s">
        <v>389</v>
      </c>
      <c r="O110" s="14" t="s">
        <v>580</v>
      </c>
      <c r="P110" s="14" t="s">
        <v>71</v>
      </c>
      <c r="Q110" s="14" t="s">
        <v>72</v>
      </c>
    </row>
    <row r="111" customFormat="false" ht="22.35" hidden="false" customHeight="false" outlineLevel="0" collapsed="false">
      <c r="A111" s="14" t="n">
        <v>110</v>
      </c>
      <c r="B111" s="14" t="s">
        <v>581</v>
      </c>
      <c r="C111" s="14"/>
      <c r="D111" s="14" t="s">
        <v>10</v>
      </c>
      <c r="E111" s="14" t="s">
        <v>582</v>
      </c>
      <c r="F111" s="14" t="s">
        <v>215</v>
      </c>
      <c r="G111" s="14" t="s">
        <v>77</v>
      </c>
      <c r="H111" s="14" t="s">
        <v>583</v>
      </c>
      <c r="I111" s="14" t="s">
        <v>162</v>
      </c>
      <c r="J111" s="14" t="s">
        <v>163</v>
      </c>
      <c r="K111" s="17" t="n">
        <v>2</v>
      </c>
      <c r="L111" s="14" t="s">
        <v>67</v>
      </c>
      <c r="M111" s="14" t="s">
        <v>584</v>
      </c>
      <c r="N111" s="14" t="s">
        <v>389</v>
      </c>
      <c r="O111" s="14"/>
      <c r="P111" s="14" t="s">
        <v>90</v>
      </c>
      <c r="Q111" s="16" t="s">
        <v>585</v>
      </c>
    </row>
    <row r="112" customFormat="false" ht="22.35" hidden="false" customHeight="false" outlineLevel="0" collapsed="false">
      <c r="A112" s="14" t="n">
        <v>111</v>
      </c>
      <c r="B112" s="14" t="s">
        <v>586</v>
      </c>
      <c r="C112" s="14"/>
      <c r="D112" s="14" t="s">
        <v>10</v>
      </c>
      <c r="E112" s="14" t="s">
        <v>177</v>
      </c>
      <c r="F112" s="14" t="s">
        <v>62</v>
      </c>
      <c r="G112" s="14" t="s">
        <v>63</v>
      </c>
      <c r="H112" s="14" t="s">
        <v>583</v>
      </c>
      <c r="I112" s="14" t="s">
        <v>162</v>
      </c>
      <c r="J112" s="14" t="s">
        <v>163</v>
      </c>
      <c r="K112" s="17" t="n">
        <v>2</v>
      </c>
      <c r="L112" s="14" t="s">
        <v>67</v>
      </c>
      <c r="M112" s="14" t="s">
        <v>584</v>
      </c>
      <c r="N112" s="14" t="s">
        <v>389</v>
      </c>
      <c r="O112" s="14"/>
      <c r="P112" s="14" t="s">
        <v>90</v>
      </c>
      <c r="Q112" s="16" t="s">
        <v>585</v>
      </c>
    </row>
    <row r="113" customFormat="false" ht="22.35" hidden="false" customHeight="false" outlineLevel="0" collapsed="false">
      <c r="A113" s="14" t="n">
        <v>112</v>
      </c>
      <c r="B113" s="14" t="s">
        <v>587</v>
      </c>
      <c r="C113" s="14"/>
      <c r="D113" s="14" t="s">
        <v>10</v>
      </c>
      <c r="E113" s="14" t="s">
        <v>588</v>
      </c>
      <c r="F113" s="14" t="s">
        <v>215</v>
      </c>
      <c r="G113" s="14" t="s">
        <v>77</v>
      </c>
      <c r="H113" s="14" t="s">
        <v>583</v>
      </c>
      <c r="I113" s="14" t="s">
        <v>162</v>
      </c>
      <c r="J113" s="14" t="s">
        <v>163</v>
      </c>
      <c r="K113" s="17" t="n">
        <v>2</v>
      </c>
      <c r="L113" s="14" t="s">
        <v>67</v>
      </c>
      <c r="M113" s="14" t="s">
        <v>68</v>
      </c>
      <c r="N113" s="14" t="s">
        <v>389</v>
      </c>
      <c r="O113" s="14"/>
      <c r="P113" s="14" t="s">
        <v>71</v>
      </c>
      <c r="Q113" s="14" t="s">
        <v>72</v>
      </c>
    </row>
    <row r="114" customFormat="false" ht="22.35" hidden="false" customHeight="false" outlineLevel="0" collapsed="false">
      <c r="A114" s="14" t="n">
        <v>113</v>
      </c>
      <c r="B114" s="14" t="s">
        <v>589</v>
      </c>
      <c r="C114" s="14" t="s">
        <v>590</v>
      </c>
      <c r="D114" s="14" t="s">
        <v>10</v>
      </c>
      <c r="E114" s="14" t="s">
        <v>591</v>
      </c>
      <c r="F114" s="14" t="s">
        <v>62</v>
      </c>
      <c r="G114" s="14" t="s">
        <v>63</v>
      </c>
      <c r="H114" s="14" t="s">
        <v>583</v>
      </c>
      <c r="I114" s="14" t="s">
        <v>162</v>
      </c>
      <c r="J114" s="14" t="s">
        <v>163</v>
      </c>
      <c r="K114" s="17" t="n">
        <v>2</v>
      </c>
      <c r="L114" s="14" t="s">
        <v>67</v>
      </c>
      <c r="M114" s="14" t="s">
        <v>68</v>
      </c>
      <c r="N114" s="14" t="s">
        <v>389</v>
      </c>
      <c r="O114" s="14"/>
      <c r="P114" s="14" t="s">
        <v>71</v>
      </c>
      <c r="Q114" s="14" t="s">
        <v>72</v>
      </c>
    </row>
    <row r="115" customFormat="false" ht="22.35" hidden="false" customHeight="false" outlineLevel="0" collapsed="false">
      <c r="A115" s="14" t="n">
        <v>114</v>
      </c>
      <c r="B115" s="14" t="s">
        <v>592</v>
      </c>
      <c r="C115" s="14"/>
      <c r="D115" s="14" t="s">
        <v>10</v>
      </c>
      <c r="E115" s="14" t="s">
        <v>593</v>
      </c>
      <c r="F115" s="14" t="s">
        <v>62</v>
      </c>
      <c r="G115" s="14" t="s">
        <v>63</v>
      </c>
      <c r="H115" s="14" t="s">
        <v>583</v>
      </c>
      <c r="I115" s="14" t="s">
        <v>162</v>
      </c>
      <c r="J115" s="14" t="s">
        <v>163</v>
      </c>
      <c r="K115" s="17" t="n">
        <v>2</v>
      </c>
      <c r="L115" s="14" t="s">
        <v>67</v>
      </c>
      <c r="M115" s="14" t="s">
        <v>584</v>
      </c>
      <c r="N115" s="14" t="s">
        <v>389</v>
      </c>
      <c r="O115" s="14"/>
      <c r="P115" s="14" t="s">
        <v>90</v>
      </c>
      <c r="Q115" s="16" t="s">
        <v>585</v>
      </c>
    </row>
    <row r="116" customFormat="false" ht="22.35" hidden="false" customHeight="false" outlineLevel="0" collapsed="false">
      <c r="A116" s="14" t="n">
        <v>115</v>
      </c>
      <c r="B116" s="14" t="s">
        <v>594</v>
      </c>
      <c r="C116" s="14" t="s">
        <v>595</v>
      </c>
      <c r="D116" s="14" t="s">
        <v>10</v>
      </c>
      <c r="E116" s="14" t="s">
        <v>596</v>
      </c>
      <c r="F116" s="14" t="s">
        <v>597</v>
      </c>
      <c r="G116" s="14" t="s">
        <v>77</v>
      </c>
      <c r="H116" s="14" t="s">
        <v>583</v>
      </c>
      <c r="I116" s="14" t="s">
        <v>162</v>
      </c>
      <c r="J116" s="14" t="s">
        <v>163</v>
      </c>
      <c r="K116" s="17" t="n">
        <v>2</v>
      </c>
      <c r="L116" s="14" t="s">
        <v>67</v>
      </c>
      <c r="M116" s="14" t="s">
        <v>68</v>
      </c>
      <c r="N116" s="14" t="s">
        <v>389</v>
      </c>
      <c r="O116" s="14"/>
      <c r="P116" s="14" t="s">
        <v>71</v>
      </c>
      <c r="Q116" s="14" t="s">
        <v>72</v>
      </c>
    </row>
    <row r="117" customFormat="false" ht="22.35" hidden="false" customHeight="false" outlineLevel="0" collapsed="false">
      <c r="A117" s="14" t="n">
        <v>116</v>
      </c>
      <c r="B117" s="14" t="s">
        <v>598</v>
      </c>
      <c r="C117" s="14" t="s">
        <v>599</v>
      </c>
      <c r="D117" s="14" t="s">
        <v>10</v>
      </c>
      <c r="E117" s="14" t="s">
        <v>600</v>
      </c>
      <c r="F117" s="14" t="s">
        <v>601</v>
      </c>
      <c r="G117" s="14" t="s">
        <v>77</v>
      </c>
      <c r="H117" s="14" t="s">
        <v>583</v>
      </c>
      <c r="I117" s="14" t="s">
        <v>162</v>
      </c>
      <c r="J117" s="14" t="s">
        <v>163</v>
      </c>
      <c r="K117" s="17" t="n">
        <v>2</v>
      </c>
      <c r="L117" s="14" t="s">
        <v>67</v>
      </c>
      <c r="M117" s="14" t="s">
        <v>68</v>
      </c>
      <c r="N117" s="14" t="s">
        <v>389</v>
      </c>
      <c r="O117" s="14"/>
      <c r="P117" s="14" t="s">
        <v>71</v>
      </c>
      <c r="Q117" s="14" t="s">
        <v>72</v>
      </c>
    </row>
    <row r="118" customFormat="false" ht="22.35" hidden="false" customHeight="false" outlineLevel="0" collapsed="false">
      <c r="A118" s="14" t="n">
        <v>117</v>
      </c>
      <c r="B118" s="14" t="s">
        <v>602</v>
      </c>
      <c r="C118" s="14" t="s">
        <v>603</v>
      </c>
      <c r="D118" s="14" t="s">
        <v>10</v>
      </c>
      <c r="E118" s="14" t="s">
        <v>604</v>
      </c>
      <c r="F118" s="14" t="s">
        <v>550</v>
      </c>
      <c r="G118" s="14" t="s">
        <v>77</v>
      </c>
      <c r="H118" s="14" t="s">
        <v>583</v>
      </c>
      <c r="I118" s="14" t="s">
        <v>162</v>
      </c>
      <c r="J118" s="14" t="s">
        <v>163</v>
      </c>
      <c r="K118" s="17" t="n">
        <v>2</v>
      </c>
      <c r="L118" s="14" t="s">
        <v>67</v>
      </c>
      <c r="M118" s="14" t="s">
        <v>68</v>
      </c>
      <c r="N118" s="14" t="s">
        <v>389</v>
      </c>
      <c r="O118" s="14"/>
      <c r="P118" s="14" t="s">
        <v>71</v>
      </c>
      <c r="Q118" s="14" t="s">
        <v>72</v>
      </c>
    </row>
    <row r="119" customFormat="false" ht="22.35" hidden="false" customHeight="false" outlineLevel="0" collapsed="false">
      <c r="A119" s="14" t="n">
        <v>118</v>
      </c>
      <c r="B119" s="14" t="s">
        <v>605</v>
      </c>
      <c r="C119" s="14" t="s">
        <v>104</v>
      </c>
      <c r="D119" s="14" t="s">
        <v>10</v>
      </c>
      <c r="E119" s="14" t="s">
        <v>177</v>
      </c>
      <c r="F119" s="14" t="s">
        <v>606</v>
      </c>
      <c r="G119" s="14" t="s">
        <v>63</v>
      </c>
      <c r="H119" s="14" t="s">
        <v>583</v>
      </c>
      <c r="I119" s="14" t="s">
        <v>162</v>
      </c>
      <c r="J119" s="14" t="s">
        <v>163</v>
      </c>
      <c r="K119" s="17" t="n">
        <v>2</v>
      </c>
      <c r="L119" s="14" t="s">
        <v>67</v>
      </c>
      <c r="M119" s="14" t="s">
        <v>68</v>
      </c>
      <c r="N119" s="14" t="s">
        <v>389</v>
      </c>
      <c r="O119" s="14"/>
      <c r="P119" s="14" t="s">
        <v>71</v>
      </c>
      <c r="Q119" s="14" t="s">
        <v>72</v>
      </c>
    </row>
    <row r="120" customFormat="false" ht="22.35" hidden="false" customHeight="false" outlineLevel="0" collapsed="false">
      <c r="A120" s="14" t="n">
        <v>119</v>
      </c>
      <c r="B120" s="14" t="s">
        <v>607</v>
      </c>
      <c r="C120" s="14" t="s">
        <v>608</v>
      </c>
      <c r="D120" s="14" t="s">
        <v>10</v>
      </c>
      <c r="E120" s="14" t="s">
        <v>609</v>
      </c>
      <c r="F120" s="14" t="s">
        <v>215</v>
      </c>
      <c r="G120" s="14" t="s">
        <v>77</v>
      </c>
      <c r="H120" s="14" t="s">
        <v>583</v>
      </c>
      <c r="I120" s="14" t="s">
        <v>162</v>
      </c>
      <c r="J120" s="14" t="s">
        <v>163</v>
      </c>
      <c r="K120" s="17" t="n">
        <v>2</v>
      </c>
      <c r="L120" s="14" t="s">
        <v>67</v>
      </c>
      <c r="M120" s="14" t="s">
        <v>584</v>
      </c>
      <c r="N120" s="14" t="s">
        <v>389</v>
      </c>
      <c r="O120" s="14" t="s">
        <v>610</v>
      </c>
      <c r="P120" s="14" t="s">
        <v>90</v>
      </c>
      <c r="Q120" s="16" t="s">
        <v>585</v>
      </c>
    </row>
    <row r="121" customFormat="false" ht="22.35" hidden="false" customHeight="false" outlineLevel="0" collapsed="false">
      <c r="A121" s="14" t="n">
        <v>120</v>
      </c>
      <c r="B121" s="14" t="s">
        <v>611</v>
      </c>
      <c r="C121" s="14" t="s">
        <v>369</v>
      </c>
      <c r="D121" s="14" t="s">
        <v>10</v>
      </c>
      <c r="E121" s="14" t="s">
        <v>612</v>
      </c>
      <c r="F121" s="14" t="s">
        <v>215</v>
      </c>
      <c r="G121" s="14" t="s">
        <v>77</v>
      </c>
      <c r="H121" s="14" t="s">
        <v>583</v>
      </c>
      <c r="I121" s="14" t="s">
        <v>162</v>
      </c>
      <c r="J121" s="14" t="s">
        <v>163</v>
      </c>
      <c r="K121" s="17" t="n">
        <v>2</v>
      </c>
      <c r="L121" s="14" t="s">
        <v>67</v>
      </c>
      <c r="M121" s="14" t="s">
        <v>68</v>
      </c>
      <c r="N121" s="14" t="s">
        <v>389</v>
      </c>
      <c r="O121" s="14"/>
      <c r="P121" s="14" t="s">
        <v>71</v>
      </c>
      <c r="Q121" s="14" t="s">
        <v>72</v>
      </c>
    </row>
    <row r="122" customFormat="false" ht="22.35" hidden="false" customHeight="false" outlineLevel="0" collapsed="false">
      <c r="A122" s="14" t="n">
        <v>121</v>
      </c>
      <c r="B122" s="14" t="s">
        <v>613</v>
      </c>
      <c r="C122" s="14" t="s">
        <v>369</v>
      </c>
      <c r="D122" s="14" t="s">
        <v>10</v>
      </c>
      <c r="E122" s="14" t="s">
        <v>614</v>
      </c>
      <c r="F122" s="14" t="s">
        <v>215</v>
      </c>
      <c r="G122" s="14" t="s">
        <v>77</v>
      </c>
      <c r="H122" s="14" t="s">
        <v>583</v>
      </c>
      <c r="I122" s="14" t="s">
        <v>162</v>
      </c>
      <c r="J122" s="14" t="s">
        <v>163</v>
      </c>
      <c r="K122" s="17" t="n">
        <v>2</v>
      </c>
      <c r="L122" s="14" t="s">
        <v>67</v>
      </c>
      <c r="M122" s="14" t="s">
        <v>615</v>
      </c>
      <c r="N122" s="14" t="s">
        <v>389</v>
      </c>
      <c r="O122" s="14"/>
      <c r="P122" s="14" t="s">
        <v>90</v>
      </c>
      <c r="Q122" s="16" t="s">
        <v>616</v>
      </c>
    </row>
    <row r="123" customFormat="false" ht="22.35" hidden="false" customHeight="false" outlineLevel="0" collapsed="false">
      <c r="A123" s="14" t="n">
        <v>122</v>
      </c>
      <c r="B123" s="14" t="s">
        <v>617</v>
      </c>
      <c r="C123" s="14" t="s">
        <v>618</v>
      </c>
      <c r="D123" s="14" t="s">
        <v>10</v>
      </c>
      <c r="E123" s="14" t="s">
        <v>591</v>
      </c>
      <c r="F123" s="14" t="s">
        <v>62</v>
      </c>
      <c r="G123" s="14" t="s">
        <v>63</v>
      </c>
      <c r="H123" s="14" t="s">
        <v>583</v>
      </c>
      <c r="I123" s="14" t="s">
        <v>162</v>
      </c>
      <c r="J123" s="14" t="s">
        <v>163</v>
      </c>
      <c r="K123" s="17" t="n">
        <v>2</v>
      </c>
      <c r="L123" s="14" t="s">
        <v>67</v>
      </c>
      <c r="M123" s="14" t="s">
        <v>68</v>
      </c>
      <c r="N123" s="14" t="s">
        <v>389</v>
      </c>
      <c r="O123" s="14"/>
      <c r="P123" s="14" t="s">
        <v>71</v>
      </c>
      <c r="Q123" s="14" t="s">
        <v>72</v>
      </c>
    </row>
    <row r="124" customFormat="false" ht="22.35" hidden="false" customHeight="false" outlineLevel="0" collapsed="false">
      <c r="A124" s="14" t="n">
        <v>123</v>
      </c>
      <c r="B124" s="14" t="s">
        <v>619</v>
      </c>
      <c r="C124" s="14" t="s">
        <v>620</v>
      </c>
      <c r="D124" s="14" t="s">
        <v>10</v>
      </c>
      <c r="E124" s="14" t="s">
        <v>621</v>
      </c>
      <c r="F124" s="14" t="s">
        <v>215</v>
      </c>
      <c r="G124" s="14" t="s">
        <v>77</v>
      </c>
      <c r="H124" s="14" t="s">
        <v>583</v>
      </c>
      <c r="I124" s="14" t="s">
        <v>162</v>
      </c>
      <c r="J124" s="14" t="s">
        <v>163</v>
      </c>
      <c r="K124" s="17" t="n">
        <v>2</v>
      </c>
      <c r="L124" s="14" t="s">
        <v>67</v>
      </c>
      <c r="M124" s="14" t="s">
        <v>68</v>
      </c>
      <c r="N124" s="14" t="s">
        <v>389</v>
      </c>
      <c r="O124" s="14"/>
      <c r="P124" s="14" t="s">
        <v>71</v>
      </c>
      <c r="Q124" s="14" t="s">
        <v>72</v>
      </c>
    </row>
    <row r="125" customFormat="false" ht="22.35" hidden="false" customHeight="false" outlineLevel="0" collapsed="false">
      <c r="A125" s="14" t="n">
        <v>124</v>
      </c>
      <c r="B125" s="14" t="s">
        <v>622</v>
      </c>
      <c r="C125" s="14" t="s">
        <v>623</v>
      </c>
      <c r="D125" s="14" t="s">
        <v>10</v>
      </c>
      <c r="E125" s="14" t="s">
        <v>624</v>
      </c>
      <c r="F125" s="14" t="s">
        <v>625</v>
      </c>
      <c r="G125" s="14" t="s">
        <v>493</v>
      </c>
      <c r="H125" s="14" t="s">
        <v>583</v>
      </c>
      <c r="I125" s="14" t="s">
        <v>162</v>
      </c>
      <c r="J125" s="14" t="s">
        <v>163</v>
      </c>
      <c r="K125" s="17" t="n">
        <v>2</v>
      </c>
      <c r="L125" s="14" t="s">
        <v>67</v>
      </c>
      <c r="M125" s="14" t="s">
        <v>68</v>
      </c>
      <c r="N125" s="14" t="s">
        <v>389</v>
      </c>
      <c r="O125" s="14"/>
      <c r="P125" s="14" t="s">
        <v>71</v>
      </c>
      <c r="Q125" s="14" t="s">
        <v>72</v>
      </c>
    </row>
    <row r="126" customFormat="false" ht="22.35" hidden="false" customHeight="false" outlineLevel="0" collapsed="false">
      <c r="A126" s="14" t="n">
        <v>125</v>
      </c>
      <c r="B126" s="14" t="s">
        <v>626</v>
      </c>
      <c r="C126" s="14" t="s">
        <v>627</v>
      </c>
      <c r="D126" s="14" t="s">
        <v>10</v>
      </c>
      <c r="E126" s="14" t="s">
        <v>628</v>
      </c>
      <c r="F126" s="14" t="s">
        <v>629</v>
      </c>
      <c r="G126" s="14" t="s">
        <v>63</v>
      </c>
      <c r="H126" s="14" t="s">
        <v>583</v>
      </c>
      <c r="I126" s="14" t="s">
        <v>162</v>
      </c>
      <c r="J126" s="14" t="s">
        <v>163</v>
      </c>
      <c r="K126" s="17" t="n">
        <v>2</v>
      </c>
      <c r="L126" s="14" t="s">
        <v>67</v>
      </c>
      <c r="M126" s="14" t="s">
        <v>68</v>
      </c>
      <c r="N126" s="14" t="s">
        <v>389</v>
      </c>
      <c r="O126" s="14"/>
      <c r="P126" s="14" t="s">
        <v>71</v>
      </c>
      <c r="Q126" s="14" t="s">
        <v>72</v>
      </c>
    </row>
    <row r="127" customFormat="false" ht="22.35" hidden="false" customHeight="false" outlineLevel="0" collapsed="false">
      <c r="A127" s="14" t="n">
        <v>126</v>
      </c>
      <c r="B127" s="14" t="s">
        <v>630</v>
      </c>
      <c r="C127" s="14" t="s">
        <v>631</v>
      </c>
      <c r="D127" s="14" t="s">
        <v>10</v>
      </c>
      <c r="E127" s="14" t="s">
        <v>632</v>
      </c>
      <c r="F127" s="14" t="s">
        <v>215</v>
      </c>
      <c r="G127" s="14" t="s">
        <v>77</v>
      </c>
      <c r="H127" s="14" t="s">
        <v>583</v>
      </c>
      <c r="I127" s="14" t="s">
        <v>162</v>
      </c>
      <c r="J127" s="14" t="s">
        <v>163</v>
      </c>
      <c r="K127" s="17" t="n">
        <v>2</v>
      </c>
      <c r="L127" s="14" t="s">
        <v>67</v>
      </c>
      <c r="M127" s="14" t="s">
        <v>68</v>
      </c>
      <c r="N127" s="14" t="s">
        <v>389</v>
      </c>
      <c r="O127" s="14"/>
      <c r="P127" s="14" t="s">
        <v>71</v>
      </c>
      <c r="Q127" s="14" t="s">
        <v>72</v>
      </c>
    </row>
    <row r="128" customFormat="false" ht="22.35" hidden="false" customHeight="false" outlineLevel="0" collapsed="false">
      <c r="A128" s="14" t="n">
        <v>127</v>
      </c>
      <c r="B128" s="14" t="s">
        <v>633</v>
      </c>
      <c r="C128" s="14" t="s">
        <v>634</v>
      </c>
      <c r="D128" s="14" t="s">
        <v>10</v>
      </c>
      <c r="E128" s="14" t="s">
        <v>635</v>
      </c>
      <c r="F128" s="14" t="s">
        <v>147</v>
      </c>
      <c r="G128" s="14" t="s">
        <v>63</v>
      </c>
      <c r="H128" s="14" t="s">
        <v>583</v>
      </c>
      <c r="I128" s="14" t="s">
        <v>162</v>
      </c>
      <c r="J128" s="14" t="s">
        <v>163</v>
      </c>
      <c r="K128" s="17" t="n">
        <v>2</v>
      </c>
      <c r="L128" s="14" t="s">
        <v>67</v>
      </c>
      <c r="M128" s="14" t="s">
        <v>68</v>
      </c>
      <c r="N128" s="14" t="s">
        <v>389</v>
      </c>
      <c r="O128" s="14"/>
      <c r="P128" s="14" t="s">
        <v>71</v>
      </c>
      <c r="Q128" s="14" t="s">
        <v>72</v>
      </c>
    </row>
    <row r="129" customFormat="false" ht="22.35" hidden="false" customHeight="false" outlineLevel="0" collapsed="false">
      <c r="A129" s="14" t="n">
        <v>128</v>
      </c>
      <c r="B129" s="14" t="s">
        <v>636</v>
      </c>
      <c r="C129" s="14" t="s">
        <v>637</v>
      </c>
      <c r="D129" s="14" t="s">
        <v>10</v>
      </c>
      <c r="E129" s="14" t="s">
        <v>638</v>
      </c>
      <c r="F129" s="14" t="s">
        <v>215</v>
      </c>
      <c r="G129" s="14" t="s">
        <v>77</v>
      </c>
      <c r="H129" s="14" t="s">
        <v>583</v>
      </c>
      <c r="I129" s="14" t="s">
        <v>162</v>
      </c>
      <c r="J129" s="14" t="s">
        <v>163</v>
      </c>
      <c r="K129" s="17" t="n">
        <v>2</v>
      </c>
      <c r="L129" s="14" t="s">
        <v>67</v>
      </c>
      <c r="M129" s="14" t="s">
        <v>68</v>
      </c>
      <c r="N129" s="14" t="s">
        <v>389</v>
      </c>
      <c r="O129" s="14"/>
      <c r="P129" s="14" t="s">
        <v>71</v>
      </c>
      <c r="Q129" s="14" t="s">
        <v>72</v>
      </c>
    </row>
    <row r="130" customFormat="false" ht="22.35" hidden="false" customHeight="false" outlineLevel="0" collapsed="false">
      <c r="A130" s="14" t="n">
        <v>129</v>
      </c>
      <c r="B130" s="14" t="s">
        <v>639</v>
      </c>
      <c r="C130" s="14" t="s">
        <v>186</v>
      </c>
      <c r="D130" s="14" t="s">
        <v>10</v>
      </c>
      <c r="E130" s="14" t="s">
        <v>640</v>
      </c>
      <c r="F130" s="14" t="s">
        <v>641</v>
      </c>
      <c r="G130" s="14" t="s">
        <v>642</v>
      </c>
      <c r="H130" s="14" t="s">
        <v>583</v>
      </c>
      <c r="I130" s="14" t="s">
        <v>162</v>
      </c>
      <c r="J130" s="14" t="s">
        <v>163</v>
      </c>
      <c r="K130" s="17" t="n">
        <v>2</v>
      </c>
      <c r="L130" s="14" t="s">
        <v>67</v>
      </c>
      <c r="M130" s="14" t="s">
        <v>68</v>
      </c>
      <c r="N130" s="14" t="s">
        <v>389</v>
      </c>
      <c r="O130" s="14"/>
      <c r="P130" s="14" t="s">
        <v>71</v>
      </c>
      <c r="Q130" s="14" t="s">
        <v>72</v>
      </c>
    </row>
    <row r="131" customFormat="false" ht="22.35" hidden="false" customHeight="false" outlineLevel="0" collapsed="false">
      <c r="A131" s="14" t="n">
        <v>130</v>
      </c>
      <c r="B131" s="14" t="s">
        <v>643</v>
      </c>
      <c r="C131" s="14" t="s">
        <v>186</v>
      </c>
      <c r="D131" s="14" t="s">
        <v>10</v>
      </c>
      <c r="E131" s="14" t="s">
        <v>177</v>
      </c>
      <c r="F131" s="14" t="s">
        <v>644</v>
      </c>
      <c r="G131" s="14" t="s">
        <v>63</v>
      </c>
      <c r="H131" s="14" t="s">
        <v>583</v>
      </c>
      <c r="I131" s="14" t="s">
        <v>162</v>
      </c>
      <c r="J131" s="14" t="s">
        <v>163</v>
      </c>
      <c r="K131" s="17" t="n">
        <v>2</v>
      </c>
      <c r="L131" s="14" t="s">
        <v>67</v>
      </c>
      <c r="M131" s="14" t="s">
        <v>68</v>
      </c>
      <c r="N131" s="14" t="s">
        <v>389</v>
      </c>
      <c r="O131" s="14"/>
      <c r="P131" s="14" t="s">
        <v>71</v>
      </c>
      <c r="Q131" s="14" t="s">
        <v>72</v>
      </c>
    </row>
    <row r="132" customFormat="false" ht="22.35" hidden="false" customHeight="false" outlineLevel="0" collapsed="false">
      <c r="A132" s="14" t="n">
        <v>131</v>
      </c>
      <c r="B132" s="14" t="s">
        <v>645</v>
      </c>
      <c r="C132" s="14" t="s">
        <v>186</v>
      </c>
      <c r="D132" s="14" t="s">
        <v>10</v>
      </c>
      <c r="E132" s="14" t="s">
        <v>646</v>
      </c>
      <c r="F132" s="14" t="s">
        <v>215</v>
      </c>
      <c r="G132" s="14" t="s">
        <v>77</v>
      </c>
      <c r="H132" s="14" t="s">
        <v>583</v>
      </c>
      <c r="I132" s="14" t="s">
        <v>162</v>
      </c>
      <c r="J132" s="14" t="s">
        <v>163</v>
      </c>
      <c r="K132" s="17" t="n">
        <v>2</v>
      </c>
      <c r="L132" s="14" t="s">
        <v>67</v>
      </c>
      <c r="M132" s="14" t="s">
        <v>68</v>
      </c>
      <c r="N132" s="14" t="s">
        <v>389</v>
      </c>
      <c r="O132" s="14"/>
      <c r="P132" s="14" t="s">
        <v>71</v>
      </c>
      <c r="Q132" s="14" t="s">
        <v>72</v>
      </c>
    </row>
    <row r="133" customFormat="false" ht="22.35" hidden="false" customHeight="false" outlineLevel="0" collapsed="false">
      <c r="A133" s="14" t="n">
        <v>132</v>
      </c>
      <c r="B133" s="14" t="s">
        <v>647</v>
      </c>
      <c r="C133" s="14" t="s">
        <v>465</v>
      </c>
      <c r="D133" s="14" t="s">
        <v>10</v>
      </c>
      <c r="E133" s="14" t="s">
        <v>648</v>
      </c>
      <c r="F133" s="14" t="s">
        <v>649</v>
      </c>
      <c r="G133" s="14" t="s">
        <v>63</v>
      </c>
      <c r="H133" s="14" t="s">
        <v>583</v>
      </c>
      <c r="I133" s="14" t="s">
        <v>162</v>
      </c>
      <c r="J133" s="14" t="s">
        <v>163</v>
      </c>
      <c r="K133" s="17" t="n">
        <v>2</v>
      </c>
      <c r="L133" s="14" t="s">
        <v>67</v>
      </c>
      <c r="M133" s="14" t="s">
        <v>68</v>
      </c>
      <c r="N133" s="14" t="s">
        <v>389</v>
      </c>
      <c r="O133" s="14" t="s">
        <v>466</v>
      </c>
      <c r="P133" s="14" t="s">
        <v>71</v>
      </c>
      <c r="Q133" s="14" t="s">
        <v>72</v>
      </c>
    </row>
    <row r="134" customFormat="false" ht="22.35" hidden="false" customHeight="false" outlineLevel="0" collapsed="false">
      <c r="A134" s="14" t="n">
        <v>133</v>
      </c>
      <c r="B134" s="14" t="s">
        <v>650</v>
      </c>
      <c r="C134" s="14" t="s">
        <v>651</v>
      </c>
      <c r="D134" s="14" t="s">
        <v>10</v>
      </c>
      <c r="E134" s="14" t="s">
        <v>600</v>
      </c>
      <c r="F134" s="14" t="s">
        <v>641</v>
      </c>
      <c r="G134" s="14" t="s">
        <v>642</v>
      </c>
      <c r="H134" s="14" t="s">
        <v>583</v>
      </c>
      <c r="I134" s="14" t="s">
        <v>162</v>
      </c>
      <c r="J134" s="14" t="s">
        <v>163</v>
      </c>
      <c r="K134" s="17" t="n">
        <v>2</v>
      </c>
      <c r="L134" s="14" t="s">
        <v>67</v>
      </c>
      <c r="M134" s="14" t="s">
        <v>68</v>
      </c>
      <c r="N134" s="14" t="s">
        <v>389</v>
      </c>
      <c r="O134" s="14"/>
      <c r="P134" s="14" t="s">
        <v>71</v>
      </c>
      <c r="Q134" s="14" t="s">
        <v>72</v>
      </c>
    </row>
    <row r="135" customFormat="false" ht="22.35" hidden="false" customHeight="false" outlineLevel="0" collapsed="false">
      <c r="A135" s="14" t="n">
        <v>134</v>
      </c>
      <c r="B135" s="14" t="s">
        <v>652</v>
      </c>
      <c r="C135" s="14" t="s">
        <v>653</v>
      </c>
      <c r="D135" s="14" t="s">
        <v>10</v>
      </c>
      <c r="E135" s="14" t="s">
        <v>654</v>
      </c>
      <c r="F135" s="14" t="s">
        <v>135</v>
      </c>
      <c r="G135" s="14" t="s">
        <v>63</v>
      </c>
      <c r="H135" s="14" t="s">
        <v>583</v>
      </c>
      <c r="I135" s="14" t="s">
        <v>162</v>
      </c>
      <c r="J135" s="14" t="s">
        <v>163</v>
      </c>
      <c r="K135" s="17" t="n">
        <v>2</v>
      </c>
      <c r="L135" s="14" t="s">
        <v>67</v>
      </c>
      <c r="M135" s="14" t="s">
        <v>68</v>
      </c>
      <c r="N135" s="14" t="s">
        <v>389</v>
      </c>
      <c r="O135" s="14"/>
      <c r="P135" s="14" t="s">
        <v>71</v>
      </c>
      <c r="Q135" s="14" t="s">
        <v>72</v>
      </c>
    </row>
    <row r="136" customFormat="false" ht="22.35" hidden="false" customHeight="false" outlineLevel="0" collapsed="false">
      <c r="A136" s="14" t="n">
        <v>135</v>
      </c>
      <c r="B136" s="14" t="s">
        <v>655</v>
      </c>
      <c r="C136" s="14" t="s">
        <v>656</v>
      </c>
      <c r="D136" s="14" t="s">
        <v>10</v>
      </c>
      <c r="E136" s="14" t="s">
        <v>177</v>
      </c>
      <c r="F136" s="14" t="s">
        <v>135</v>
      </c>
      <c r="G136" s="14" t="s">
        <v>63</v>
      </c>
      <c r="H136" s="14" t="s">
        <v>583</v>
      </c>
      <c r="I136" s="14" t="s">
        <v>162</v>
      </c>
      <c r="J136" s="14" t="s">
        <v>163</v>
      </c>
      <c r="K136" s="17" t="n">
        <v>2</v>
      </c>
      <c r="L136" s="14" t="s">
        <v>67</v>
      </c>
      <c r="M136" s="14" t="s">
        <v>68</v>
      </c>
      <c r="N136" s="14" t="s">
        <v>389</v>
      </c>
      <c r="O136" s="14"/>
      <c r="P136" s="14" t="s">
        <v>71</v>
      </c>
      <c r="Q136" s="14" t="s">
        <v>72</v>
      </c>
    </row>
    <row r="137" customFormat="false" ht="22.35" hidden="false" customHeight="false" outlineLevel="0" collapsed="false">
      <c r="A137" s="14" t="n">
        <v>136</v>
      </c>
      <c r="B137" s="14" t="s">
        <v>657</v>
      </c>
      <c r="C137" s="14" t="s">
        <v>658</v>
      </c>
      <c r="D137" s="14" t="s">
        <v>10</v>
      </c>
      <c r="E137" s="14" t="s">
        <v>638</v>
      </c>
      <c r="F137" s="14" t="s">
        <v>215</v>
      </c>
      <c r="G137" s="14" t="s">
        <v>77</v>
      </c>
      <c r="H137" s="14" t="s">
        <v>583</v>
      </c>
      <c r="I137" s="14" t="s">
        <v>162</v>
      </c>
      <c r="J137" s="14" t="s">
        <v>163</v>
      </c>
      <c r="K137" s="17" t="n">
        <v>2</v>
      </c>
      <c r="L137" s="14" t="s">
        <v>67</v>
      </c>
      <c r="M137" s="14" t="s">
        <v>68</v>
      </c>
      <c r="N137" s="14" t="s">
        <v>389</v>
      </c>
      <c r="O137" s="14"/>
      <c r="P137" s="14" t="s">
        <v>71</v>
      </c>
      <c r="Q137" s="14" t="s">
        <v>72</v>
      </c>
    </row>
    <row r="138" customFormat="false" ht="22.35" hidden="false" customHeight="false" outlineLevel="0" collapsed="false">
      <c r="A138" s="14" t="n">
        <v>137</v>
      </c>
      <c r="B138" s="14" t="s">
        <v>659</v>
      </c>
      <c r="C138" s="14" t="s">
        <v>660</v>
      </c>
      <c r="D138" s="14" t="s">
        <v>10</v>
      </c>
      <c r="E138" s="14" t="s">
        <v>661</v>
      </c>
      <c r="F138" s="14" t="s">
        <v>662</v>
      </c>
      <c r="G138" s="14" t="s">
        <v>63</v>
      </c>
      <c r="H138" s="14" t="s">
        <v>583</v>
      </c>
      <c r="I138" s="14" t="s">
        <v>162</v>
      </c>
      <c r="J138" s="14" t="s">
        <v>163</v>
      </c>
      <c r="K138" s="17" t="n">
        <v>2</v>
      </c>
      <c r="L138" s="14" t="s">
        <v>67</v>
      </c>
      <c r="M138" s="14" t="s">
        <v>68</v>
      </c>
      <c r="N138" s="14" t="s">
        <v>389</v>
      </c>
      <c r="O138" s="14"/>
      <c r="P138" s="14" t="s">
        <v>71</v>
      </c>
      <c r="Q138" s="14" t="s">
        <v>72</v>
      </c>
    </row>
    <row r="139" customFormat="false" ht="22.35" hidden="false" customHeight="false" outlineLevel="0" collapsed="false">
      <c r="A139" s="14" t="n">
        <v>138</v>
      </c>
      <c r="B139" s="14" t="s">
        <v>663</v>
      </c>
      <c r="C139" s="14" t="s">
        <v>664</v>
      </c>
      <c r="D139" s="14" t="s">
        <v>10</v>
      </c>
      <c r="E139" s="14" t="s">
        <v>600</v>
      </c>
      <c r="F139" s="14" t="s">
        <v>62</v>
      </c>
      <c r="G139" s="14" t="s">
        <v>63</v>
      </c>
      <c r="H139" s="14" t="s">
        <v>583</v>
      </c>
      <c r="I139" s="14" t="s">
        <v>162</v>
      </c>
      <c r="J139" s="14" t="s">
        <v>163</v>
      </c>
      <c r="K139" s="17" t="n">
        <v>2</v>
      </c>
      <c r="L139" s="14" t="s">
        <v>67</v>
      </c>
      <c r="M139" s="14" t="s">
        <v>68</v>
      </c>
      <c r="N139" s="14" t="s">
        <v>389</v>
      </c>
      <c r="O139" s="14"/>
      <c r="P139" s="14" t="s">
        <v>71</v>
      </c>
      <c r="Q139" s="14" t="s">
        <v>72</v>
      </c>
    </row>
    <row r="140" customFormat="false" ht="22.35" hidden="false" customHeight="false" outlineLevel="0" collapsed="false">
      <c r="A140" s="14" t="n">
        <v>139</v>
      </c>
      <c r="B140" s="14" t="s">
        <v>665</v>
      </c>
      <c r="C140" s="14" t="s">
        <v>666</v>
      </c>
      <c r="D140" s="14" t="s">
        <v>10</v>
      </c>
      <c r="E140" s="14" t="s">
        <v>667</v>
      </c>
      <c r="F140" s="14" t="s">
        <v>215</v>
      </c>
      <c r="G140" s="14" t="s">
        <v>77</v>
      </c>
      <c r="H140" s="14" t="s">
        <v>583</v>
      </c>
      <c r="I140" s="14" t="s">
        <v>162</v>
      </c>
      <c r="J140" s="14" t="s">
        <v>163</v>
      </c>
      <c r="K140" s="17" t="n">
        <v>2</v>
      </c>
      <c r="L140" s="14" t="s">
        <v>67</v>
      </c>
      <c r="M140" s="14" t="s">
        <v>68</v>
      </c>
      <c r="N140" s="14" t="s">
        <v>389</v>
      </c>
      <c r="O140" s="14"/>
      <c r="P140" s="14" t="s">
        <v>71</v>
      </c>
      <c r="Q140" s="14" t="s">
        <v>72</v>
      </c>
    </row>
    <row r="141" customFormat="false" ht="22.35" hidden="false" customHeight="false" outlineLevel="0" collapsed="false">
      <c r="A141" s="14" t="n">
        <v>140</v>
      </c>
      <c r="B141" s="14" t="s">
        <v>668</v>
      </c>
      <c r="C141" s="14"/>
      <c r="D141" s="14" t="s">
        <v>10</v>
      </c>
      <c r="E141" s="14" t="s">
        <v>582</v>
      </c>
      <c r="F141" s="14" t="s">
        <v>215</v>
      </c>
      <c r="G141" s="14" t="s">
        <v>77</v>
      </c>
      <c r="H141" s="14" t="s">
        <v>583</v>
      </c>
      <c r="I141" s="14" t="s">
        <v>162</v>
      </c>
      <c r="J141" s="14" t="s">
        <v>163</v>
      </c>
      <c r="K141" s="17" t="n">
        <v>2</v>
      </c>
      <c r="L141" s="14" t="s">
        <v>67</v>
      </c>
      <c r="M141" s="14" t="s">
        <v>584</v>
      </c>
      <c r="N141" s="14" t="s">
        <v>389</v>
      </c>
      <c r="O141" s="14" t="s">
        <v>669</v>
      </c>
      <c r="P141" s="14" t="s">
        <v>90</v>
      </c>
      <c r="Q141" s="16" t="s">
        <v>585</v>
      </c>
    </row>
    <row r="142" customFormat="false" ht="22.35" hidden="false" customHeight="false" outlineLevel="0" collapsed="false">
      <c r="A142" s="14" t="n">
        <v>141</v>
      </c>
      <c r="B142" s="14" t="s">
        <v>670</v>
      </c>
      <c r="C142" s="14" t="s">
        <v>671</v>
      </c>
      <c r="D142" s="14" t="s">
        <v>10</v>
      </c>
      <c r="E142" s="14" t="s">
        <v>672</v>
      </c>
      <c r="F142" s="14" t="s">
        <v>215</v>
      </c>
      <c r="G142" s="14" t="s">
        <v>77</v>
      </c>
      <c r="H142" s="14" t="s">
        <v>583</v>
      </c>
      <c r="I142" s="14" t="s">
        <v>162</v>
      </c>
      <c r="J142" s="14" t="s">
        <v>163</v>
      </c>
      <c r="K142" s="17" t="n">
        <v>2</v>
      </c>
      <c r="L142" s="14" t="s">
        <v>67</v>
      </c>
      <c r="M142" s="14" t="s">
        <v>68</v>
      </c>
      <c r="N142" s="14" t="s">
        <v>389</v>
      </c>
      <c r="O142" s="14"/>
      <c r="P142" s="14" t="s">
        <v>71</v>
      </c>
      <c r="Q142" s="14" t="s">
        <v>72</v>
      </c>
    </row>
    <row r="143" customFormat="false" ht="22.35" hidden="false" customHeight="false" outlineLevel="0" collapsed="false">
      <c r="A143" s="14" t="n">
        <v>142</v>
      </c>
      <c r="B143" s="14" t="s">
        <v>673</v>
      </c>
      <c r="C143" s="14"/>
      <c r="D143" s="14" t="s">
        <v>23</v>
      </c>
      <c r="E143" s="14" t="s">
        <v>674</v>
      </c>
      <c r="F143" s="14" t="s">
        <v>306</v>
      </c>
      <c r="G143" s="14" t="s">
        <v>307</v>
      </c>
      <c r="H143" s="14" t="s">
        <v>675</v>
      </c>
      <c r="I143" s="14" t="s">
        <v>203</v>
      </c>
      <c r="J143" s="14" t="s">
        <v>198</v>
      </c>
      <c r="K143" s="17" t="n">
        <v>2</v>
      </c>
      <c r="L143" s="14" t="s">
        <v>67</v>
      </c>
      <c r="M143" s="14" t="s">
        <v>676</v>
      </c>
      <c r="N143" s="14" t="s">
        <v>389</v>
      </c>
      <c r="O143" s="14"/>
      <c r="P143" s="14" t="s">
        <v>90</v>
      </c>
      <c r="Q143" s="16" t="s">
        <v>677</v>
      </c>
    </row>
    <row r="144" customFormat="false" ht="22.35" hidden="false" customHeight="false" outlineLevel="0" collapsed="false">
      <c r="A144" s="14" t="n">
        <v>143</v>
      </c>
      <c r="B144" s="14" t="s">
        <v>678</v>
      </c>
      <c r="C144" s="14"/>
      <c r="D144" s="14" t="s">
        <v>23</v>
      </c>
      <c r="E144" s="14" t="s">
        <v>679</v>
      </c>
      <c r="F144" s="14" t="s">
        <v>62</v>
      </c>
      <c r="G144" s="14" t="s">
        <v>63</v>
      </c>
      <c r="H144" s="14" t="s">
        <v>675</v>
      </c>
      <c r="I144" s="14" t="s">
        <v>203</v>
      </c>
      <c r="J144" s="14" t="s">
        <v>198</v>
      </c>
      <c r="K144" s="17" t="n">
        <v>2</v>
      </c>
      <c r="L144" s="14" t="s">
        <v>67</v>
      </c>
      <c r="M144" s="14" t="s">
        <v>68</v>
      </c>
      <c r="N144" s="14" t="s">
        <v>389</v>
      </c>
      <c r="O144" s="14"/>
      <c r="P144" s="14" t="s">
        <v>71</v>
      </c>
      <c r="Q144" s="14" t="s">
        <v>72</v>
      </c>
    </row>
    <row r="145" customFormat="false" ht="22.35" hidden="false" customHeight="false" outlineLevel="0" collapsed="false">
      <c r="A145" s="14" t="n">
        <v>144</v>
      </c>
      <c r="B145" s="14" t="s">
        <v>680</v>
      </c>
      <c r="C145" s="14"/>
      <c r="D145" s="14" t="s">
        <v>23</v>
      </c>
      <c r="E145" s="14" t="s">
        <v>681</v>
      </c>
      <c r="F145" s="14" t="s">
        <v>625</v>
      </c>
      <c r="G145" s="14" t="s">
        <v>493</v>
      </c>
      <c r="H145" s="14" t="s">
        <v>675</v>
      </c>
      <c r="I145" s="14" t="s">
        <v>203</v>
      </c>
      <c r="J145" s="14" t="s">
        <v>198</v>
      </c>
      <c r="K145" s="17" t="n">
        <v>2</v>
      </c>
      <c r="L145" s="14" t="s">
        <v>67</v>
      </c>
      <c r="M145" s="14" t="s">
        <v>676</v>
      </c>
      <c r="N145" s="14" t="s">
        <v>389</v>
      </c>
      <c r="O145" s="14"/>
      <c r="P145" s="14" t="s">
        <v>90</v>
      </c>
      <c r="Q145" s="16" t="s">
        <v>677</v>
      </c>
    </row>
    <row r="146" customFormat="false" ht="22.35" hidden="false" customHeight="false" outlineLevel="0" collapsed="false">
      <c r="A146" s="14" t="n">
        <v>145</v>
      </c>
      <c r="B146" s="14" t="s">
        <v>682</v>
      </c>
      <c r="C146" s="14" t="s">
        <v>193</v>
      </c>
      <c r="D146" s="14" t="s">
        <v>23</v>
      </c>
      <c r="E146" s="14" t="s">
        <v>674</v>
      </c>
      <c r="F146" s="14" t="s">
        <v>188</v>
      </c>
      <c r="G146" s="14" t="s">
        <v>63</v>
      </c>
      <c r="H146" s="14" t="s">
        <v>675</v>
      </c>
      <c r="I146" s="14" t="s">
        <v>203</v>
      </c>
      <c r="J146" s="14" t="s">
        <v>198</v>
      </c>
      <c r="K146" s="17" t="n">
        <v>2</v>
      </c>
      <c r="L146" s="14" t="s">
        <v>67</v>
      </c>
      <c r="M146" s="14" t="s">
        <v>676</v>
      </c>
      <c r="N146" s="14" t="s">
        <v>389</v>
      </c>
      <c r="O146" s="14" t="s">
        <v>683</v>
      </c>
      <c r="P146" s="14" t="s">
        <v>90</v>
      </c>
      <c r="Q146" s="16" t="s">
        <v>677</v>
      </c>
    </row>
    <row r="147" customFormat="false" ht="22.35" hidden="false" customHeight="false" outlineLevel="0" collapsed="false">
      <c r="A147" s="14" t="n">
        <v>146</v>
      </c>
      <c r="B147" s="14" t="s">
        <v>684</v>
      </c>
      <c r="C147" s="14"/>
      <c r="D147" s="14" t="s">
        <v>23</v>
      </c>
      <c r="E147" s="14" t="s">
        <v>681</v>
      </c>
      <c r="F147" s="14" t="s">
        <v>215</v>
      </c>
      <c r="G147" s="14" t="s">
        <v>77</v>
      </c>
      <c r="H147" s="14" t="s">
        <v>675</v>
      </c>
      <c r="I147" s="14" t="s">
        <v>203</v>
      </c>
      <c r="J147" s="14" t="s">
        <v>198</v>
      </c>
      <c r="K147" s="17" t="n">
        <v>2</v>
      </c>
      <c r="L147" s="14" t="s">
        <v>67</v>
      </c>
      <c r="M147" s="14" t="s">
        <v>676</v>
      </c>
      <c r="N147" s="14" t="s">
        <v>389</v>
      </c>
      <c r="O147" s="14"/>
      <c r="P147" s="14" t="s">
        <v>90</v>
      </c>
      <c r="Q147" s="16" t="s">
        <v>677</v>
      </c>
    </row>
    <row r="148" customFormat="false" ht="22.35" hidden="false" customHeight="false" outlineLevel="0" collapsed="false">
      <c r="A148" s="14" t="n">
        <v>147</v>
      </c>
      <c r="B148" s="14" t="s">
        <v>685</v>
      </c>
      <c r="C148" s="14" t="s">
        <v>474</v>
      </c>
      <c r="D148" s="14" t="s">
        <v>23</v>
      </c>
      <c r="E148" s="14" t="s">
        <v>686</v>
      </c>
      <c r="F148" s="14" t="s">
        <v>687</v>
      </c>
      <c r="G148" s="14" t="s">
        <v>63</v>
      </c>
      <c r="H148" s="14" t="s">
        <v>675</v>
      </c>
      <c r="I148" s="14" t="s">
        <v>203</v>
      </c>
      <c r="J148" s="14" t="s">
        <v>198</v>
      </c>
      <c r="K148" s="17" t="n">
        <v>2</v>
      </c>
      <c r="L148" s="14" t="s">
        <v>67</v>
      </c>
      <c r="M148" s="14" t="s">
        <v>68</v>
      </c>
      <c r="N148" s="14" t="s">
        <v>389</v>
      </c>
      <c r="O148" s="14"/>
      <c r="P148" s="14" t="s">
        <v>71</v>
      </c>
      <c r="Q148" s="14" t="s">
        <v>72</v>
      </c>
    </row>
    <row r="149" customFormat="false" ht="22.35" hidden="false" customHeight="false" outlineLevel="0" collapsed="false">
      <c r="A149" s="14" t="n">
        <v>148</v>
      </c>
      <c r="B149" s="14" t="s">
        <v>688</v>
      </c>
      <c r="C149" s="14" t="s">
        <v>689</v>
      </c>
      <c r="D149" s="14" t="s">
        <v>23</v>
      </c>
      <c r="E149" s="14" t="s">
        <v>686</v>
      </c>
      <c r="F149" s="14" t="s">
        <v>215</v>
      </c>
      <c r="G149" s="14" t="s">
        <v>77</v>
      </c>
      <c r="H149" s="14" t="s">
        <v>675</v>
      </c>
      <c r="I149" s="14" t="s">
        <v>203</v>
      </c>
      <c r="J149" s="14" t="s">
        <v>198</v>
      </c>
      <c r="K149" s="17" t="n">
        <v>2</v>
      </c>
      <c r="L149" s="14" t="s">
        <v>67</v>
      </c>
      <c r="M149" s="14" t="s">
        <v>68</v>
      </c>
      <c r="N149" s="14" t="s">
        <v>389</v>
      </c>
      <c r="O149" s="14"/>
      <c r="P149" s="14" t="s">
        <v>71</v>
      </c>
      <c r="Q149" s="14" t="s">
        <v>72</v>
      </c>
    </row>
    <row r="150" customFormat="false" ht="22.35" hidden="false" customHeight="false" outlineLevel="0" collapsed="false">
      <c r="A150" s="14" t="n">
        <v>149</v>
      </c>
      <c r="B150" s="14" t="s">
        <v>690</v>
      </c>
      <c r="C150" s="14" t="s">
        <v>691</v>
      </c>
      <c r="D150" s="14" t="s">
        <v>23</v>
      </c>
      <c r="E150" s="14" t="s">
        <v>692</v>
      </c>
      <c r="F150" s="14" t="s">
        <v>188</v>
      </c>
      <c r="G150" s="14" t="s">
        <v>63</v>
      </c>
      <c r="H150" s="14" t="s">
        <v>675</v>
      </c>
      <c r="I150" s="14" t="s">
        <v>203</v>
      </c>
      <c r="J150" s="14" t="s">
        <v>198</v>
      </c>
      <c r="K150" s="17" t="n">
        <v>2</v>
      </c>
      <c r="L150" s="14" t="s">
        <v>67</v>
      </c>
      <c r="M150" s="14" t="s">
        <v>68</v>
      </c>
      <c r="N150" s="14" t="s">
        <v>389</v>
      </c>
      <c r="O150" s="14"/>
      <c r="P150" s="14" t="s">
        <v>71</v>
      </c>
      <c r="Q150" s="14" t="s">
        <v>72</v>
      </c>
    </row>
    <row r="151" customFormat="false" ht="22.35" hidden="false" customHeight="false" outlineLevel="0" collapsed="false">
      <c r="A151" s="14" t="n">
        <v>150</v>
      </c>
      <c r="B151" s="14" t="s">
        <v>693</v>
      </c>
      <c r="C151" s="14" t="s">
        <v>694</v>
      </c>
      <c r="D151" s="14" t="s">
        <v>31</v>
      </c>
      <c r="E151" s="14" t="s">
        <v>695</v>
      </c>
      <c r="F151" s="14" t="s">
        <v>696</v>
      </c>
      <c r="G151" s="14" t="s">
        <v>63</v>
      </c>
      <c r="H151" s="14" t="s">
        <v>697</v>
      </c>
      <c r="I151" s="14" t="s">
        <v>208</v>
      </c>
      <c r="J151" s="14" t="s">
        <v>209</v>
      </c>
      <c r="K151" s="17" t="n">
        <v>2</v>
      </c>
      <c r="L151" s="14" t="s">
        <v>67</v>
      </c>
      <c r="M151" s="14" t="s">
        <v>68</v>
      </c>
      <c r="N151" s="14" t="s">
        <v>389</v>
      </c>
      <c r="O151" s="14"/>
      <c r="P151" s="14" t="s">
        <v>71</v>
      </c>
      <c r="Q151" s="14" t="s">
        <v>72</v>
      </c>
    </row>
    <row r="152" customFormat="false" ht="22.35" hidden="false" customHeight="false" outlineLevel="0" collapsed="false">
      <c r="A152" s="14" t="n">
        <v>151</v>
      </c>
      <c r="B152" s="14" t="s">
        <v>698</v>
      </c>
      <c r="C152" s="14"/>
      <c r="D152" s="14" t="s">
        <v>31</v>
      </c>
      <c r="E152" s="14" t="s">
        <v>206</v>
      </c>
      <c r="F152" s="14" t="s">
        <v>62</v>
      </c>
      <c r="G152" s="14" t="s">
        <v>63</v>
      </c>
      <c r="H152" s="14" t="s">
        <v>697</v>
      </c>
      <c r="I152" s="14" t="s">
        <v>208</v>
      </c>
      <c r="J152" s="14" t="s">
        <v>209</v>
      </c>
      <c r="K152" s="17" t="n">
        <v>2</v>
      </c>
      <c r="L152" s="14" t="s">
        <v>67</v>
      </c>
      <c r="M152" s="14" t="s">
        <v>68</v>
      </c>
      <c r="N152" s="14" t="s">
        <v>389</v>
      </c>
      <c r="O152" s="14"/>
      <c r="P152" s="14" t="s">
        <v>71</v>
      </c>
      <c r="Q152" s="14" t="s">
        <v>72</v>
      </c>
    </row>
    <row r="153" customFormat="false" ht="22.35" hidden="false" customHeight="false" outlineLevel="0" collapsed="false">
      <c r="A153" s="14" t="n">
        <v>152</v>
      </c>
      <c r="B153" s="14" t="s">
        <v>699</v>
      </c>
      <c r="C153" s="14"/>
      <c r="D153" s="14" t="s">
        <v>31</v>
      </c>
      <c r="E153" s="14" t="s">
        <v>700</v>
      </c>
      <c r="F153" s="14" t="s">
        <v>215</v>
      </c>
      <c r="G153" s="14" t="s">
        <v>77</v>
      </c>
      <c r="H153" s="14" t="s">
        <v>697</v>
      </c>
      <c r="I153" s="14" t="s">
        <v>208</v>
      </c>
      <c r="J153" s="14" t="s">
        <v>209</v>
      </c>
      <c r="K153" s="17" t="n">
        <v>2</v>
      </c>
      <c r="L153" s="14" t="s">
        <v>67</v>
      </c>
      <c r="M153" s="14" t="s">
        <v>701</v>
      </c>
      <c r="N153" s="14" t="s">
        <v>389</v>
      </c>
      <c r="O153" s="14" t="s">
        <v>702</v>
      </c>
      <c r="P153" s="14" t="s">
        <v>90</v>
      </c>
      <c r="Q153" s="16" t="s">
        <v>703</v>
      </c>
    </row>
    <row r="154" customFormat="false" ht="22.35" hidden="false" customHeight="false" outlineLevel="0" collapsed="false">
      <c r="A154" s="14" t="n">
        <v>153</v>
      </c>
      <c r="B154" s="14" t="s">
        <v>704</v>
      </c>
      <c r="C154" s="14" t="s">
        <v>705</v>
      </c>
      <c r="D154" s="14" t="s">
        <v>31</v>
      </c>
      <c r="E154" s="14" t="s">
        <v>214</v>
      </c>
      <c r="F154" s="14" t="s">
        <v>160</v>
      </c>
      <c r="G154" s="14" t="s">
        <v>63</v>
      </c>
      <c r="H154" s="14" t="s">
        <v>697</v>
      </c>
      <c r="I154" s="14" t="s">
        <v>208</v>
      </c>
      <c r="J154" s="14" t="s">
        <v>209</v>
      </c>
      <c r="K154" s="17" t="n">
        <v>2</v>
      </c>
      <c r="L154" s="14" t="s">
        <v>67</v>
      </c>
      <c r="M154" s="14" t="s">
        <v>68</v>
      </c>
      <c r="N154" s="14" t="s">
        <v>389</v>
      </c>
      <c r="O154" s="14" t="s">
        <v>220</v>
      </c>
      <c r="P154" s="14" t="s">
        <v>71</v>
      </c>
      <c r="Q154" s="14" t="s">
        <v>72</v>
      </c>
    </row>
    <row r="155" customFormat="false" ht="22.35" hidden="false" customHeight="false" outlineLevel="0" collapsed="false">
      <c r="A155" s="14" t="n">
        <v>154</v>
      </c>
      <c r="B155" s="14" t="s">
        <v>706</v>
      </c>
      <c r="C155" s="14" t="s">
        <v>707</v>
      </c>
      <c r="D155" s="14" t="s">
        <v>31</v>
      </c>
      <c r="E155" s="14" t="s">
        <v>695</v>
      </c>
      <c r="F155" s="14" t="s">
        <v>708</v>
      </c>
      <c r="G155" s="14" t="s">
        <v>63</v>
      </c>
      <c r="H155" s="14" t="s">
        <v>697</v>
      </c>
      <c r="I155" s="14" t="s">
        <v>208</v>
      </c>
      <c r="J155" s="14" t="s">
        <v>209</v>
      </c>
      <c r="K155" s="17" t="n">
        <v>2</v>
      </c>
      <c r="L155" s="14" t="s">
        <v>67</v>
      </c>
      <c r="M155" s="14" t="s">
        <v>68</v>
      </c>
      <c r="N155" s="14" t="s">
        <v>389</v>
      </c>
      <c r="O155" s="14" t="s">
        <v>709</v>
      </c>
      <c r="P155" s="14" t="s">
        <v>71</v>
      </c>
      <c r="Q155" s="14" t="s">
        <v>72</v>
      </c>
    </row>
    <row r="156" customFormat="false" ht="22.35" hidden="false" customHeight="false" outlineLevel="0" collapsed="false">
      <c r="A156" s="14" t="n">
        <v>155</v>
      </c>
      <c r="B156" s="14" t="s">
        <v>710</v>
      </c>
      <c r="C156" s="14" t="s">
        <v>711</v>
      </c>
      <c r="D156" s="14" t="s">
        <v>35</v>
      </c>
      <c r="E156" s="14" t="s">
        <v>712</v>
      </c>
      <c r="F156" s="14" t="s">
        <v>713</v>
      </c>
      <c r="G156" s="14" t="s">
        <v>307</v>
      </c>
      <c r="H156" s="14" t="s">
        <v>714</v>
      </c>
      <c r="I156" s="14" t="s">
        <v>715</v>
      </c>
      <c r="J156" s="14" t="s">
        <v>716</v>
      </c>
      <c r="K156" s="17" t="n">
        <v>2</v>
      </c>
      <c r="L156" s="14" t="s">
        <v>67</v>
      </c>
      <c r="M156" s="14" t="s">
        <v>68</v>
      </c>
      <c r="N156" s="14" t="s">
        <v>389</v>
      </c>
      <c r="O156" s="14"/>
      <c r="P156" s="14" t="s">
        <v>71</v>
      </c>
      <c r="Q156" s="14" t="s">
        <v>72</v>
      </c>
    </row>
    <row r="157" customFormat="false" ht="22.35" hidden="false" customHeight="false" outlineLevel="0" collapsed="false">
      <c r="A157" s="14" t="n">
        <v>156</v>
      </c>
      <c r="B157" s="14" t="s">
        <v>717</v>
      </c>
      <c r="C157" s="14" t="s">
        <v>718</v>
      </c>
      <c r="D157" s="14" t="s">
        <v>35</v>
      </c>
      <c r="E157" s="14" t="s">
        <v>719</v>
      </c>
      <c r="F157" s="14" t="s">
        <v>720</v>
      </c>
      <c r="G157" s="14" t="s">
        <v>307</v>
      </c>
      <c r="H157" s="14" t="s">
        <v>714</v>
      </c>
      <c r="I157" s="14" t="s">
        <v>715</v>
      </c>
      <c r="J157" s="14" t="s">
        <v>716</v>
      </c>
      <c r="K157" s="17" t="n">
        <v>2</v>
      </c>
      <c r="L157" s="14" t="s">
        <v>67</v>
      </c>
      <c r="M157" s="14" t="s">
        <v>68</v>
      </c>
      <c r="N157" s="14" t="s">
        <v>389</v>
      </c>
      <c r="O157" s="14" t="s">
        <v>721</v>
      </c>
      <c r="P157" s="14" t="s">
        <v>71</v>
      </c>
      <c r="Q157" s="14" t="s">
        <v>72</v>
      </c>
    </row>
    <row r="158" customFormat="false" ht="22.35" hidden="false" customHeight="false" outlineLevel="0" collapsed="false">
      <c r="A158" s="14" t="n">
        <v>157</v>
      </c>
      <c r="B158" s="14" t="s">
        <v>722</v>
      </c>
      <c r="C158" s="14" t="s">
        <v>711</v>
      </c>
      <c r="D158" s="14" t="s">
        <v>35</v>
      </c>
      <c r="E158" s="14" t="s">
        <v>723</v>
      </c>
      <c r="F158" s="14" t="s">
        <v>720</v>
      </c>
      <c r="G158" s="14" t="s">
        <v>307</v>
      </c>
      <c r="H158" s="14" t="s">
        <v>714</v>
      </c>
      <c r="I158" s="14" t="s">
        <v>715</v>
      </c>
      <c r="J158" s="14" t="s">
        <v>716</v>
      </c>
      <c r="K158" s="17" t="n">
        <v>2</v>
      </c>
      <c r="L158" s="14" t="s">
        <v>67</v>
      </c>
      <c r="M158" s="14" t="s">
        <v>68</v>
      </c>
      <c r="N158" s="14" t="s">
        <v>389</v>
      </c>
      <c r="O158" s="14"/>
      <c r="P158" s="14" t="s">
        <v>71</v>
      </c>
      <c r="Q158" s="14" t="s">
        <v>72</v>
      </c>
    </row>
    <row r="159" customFormat="false" ht="22.35" hidden="false" customHeight="false" outlineLevel="0" collapsed="false">
      <c r="A159" s="14" t="n">
        <v>158</v>
      </c>
      <c r="B159" s="14" t="s">
        <v>724</v>
      </c>
      <c r="C159" s="14" t="s">
        <v>725</v>
      </c>
      <c r="D159" s="14" t="s">
        <v>35</v>
      </c>
      <c r="E159" s="14" t="s">
        <v>726</v>
      </c>
      <c r="F159" s="14" t="s">
        <v>727</v>
      </c>
      <c r="G159" s="14" t="s">
        <v>77</v>
      </c>
      <c r="H159" s="14" t="s">
        <v>714</v>
      </c>
      <c r="I159" s="14" t="s">
        <v>715</v>
      </c>
      <c r="J159" s="14" t="s">
        <v>716</v>
      </c>
      <c r="K159" s="17" t="n">
        <v>2</v>
      </c>
      <c r="L159" s="14" t="s">
        <v>67</v>
      </c>
      <c r="M159" s="14" t="s">
        <v>68</v>
      </c>
      <c r="N159" s="14" t="s">
        <v>389</v>
      </c>
      <c r="O159" s="14" t="s">
        <v>728</v>
      </c>
      <c r="P159" s="14" t="s">
        <v>71</v>
      </c>
      <c r="Q159" s="14" t="s">
        <v>72</v>
      </c>
    </row>
    <row r="160" customFormat="false" ht="22.35" hidden="false" customHeight="false" outlineLevel="0" collapsed="false">
      <c r="A160" s="14" t="n">
        <v>159</v>
      </c>
      <c r="B160" s="14" t="s">
        <v>729</v>
      </c>
      <c r="C160" s="14" t="s">
        <v>222</v>
      </c>
      <c r="D160" s="14" t="s">
        <v>27</v>
      </c>
      <c r="E160" s="14" t="s">
        <v>730</v>
      </c>
      <c r="F160" s="14" t="s">
        <v>147</v>
      </c>
      <c r="G160" s="14" t="s">
        <v>63</v>
      </c>
      <c r="H160" s="14" t="s">
        <v>731</v>
      </c>
      <c r="I160" s="14" t="s">
        <v>732</v>
      </c>
      <c r="J160" s="14" t="s">
        <v>733</v>
      </c>
      <c r="K160" s="17" t="n">
        <v>2</v>
      </c>
      <c r="L160" s="14" t="s">
        <v>67</v>
      </c>
      <c r="M160" s="14" t="s">
        <v>68</v>
      </c>
      <c r="N160" s="14" t="s">
        <v>389</v>
      </c>
      <c r="O160" s="14"/>
      <c r="P160" s="14" t="s">
        <v>71</v>
      </c>
      <c r="Q160" s="14" t="s">
        <v>72</v>
      </c>
    </row>
    <row r="161" customFormat="false" ht="22.35" hidden="false" customHeight="false" outlineLevel="0" collapsed="false">
      <c r="A161" s="14" t="n">
        <v>160</v>
      </c>
      <c r="B161" s="14" t="s">
        <v>734</v>
      </c>
      <c r="C161" s="14" t="s">
        <v>104</v>
      </c>
      <c r="D161" s="14" t="s">
        <v>27</v>
      </c>
      <c r="E161" s="14" t="s">
        <v>735</v>
      </c>
      <c r="F161" s="14" t="s">
        <v>736</v>
      </c>
      <c r="G161" s="14" t="s">
        <v>77</v>
      </c>
      <c r="H161" s="14" t="s">
        <v>731</v>
      </c>
      <c r="I161" s="14" t="s">
        <v>732</v>
      </c>
      <c r="J161" s="14" t="s">
        <v>733</v>
      </c>
      <c r="K161" s="17" t="n">
        <v>2</v>
      </c>
      <c r="L161" s="14" t="s">
        <v>67</v>
      </c>
      <c r="M161" s="14" t="s">
        <v>68</v>
      </c>
      <c r="N161" s="14" t="s">
        <v>389</v>
      </c>
      <c r="O161" s="14"/>
      <c r="P161" s="14" t="s">
        <v>71</v>
      </c>
      <c r="Q161" s="14" t="s">
        <v>72</v>
      </c>
    </row>
    <row r="162" customFormat="false" ht="22.35" hidden="false" customHeight="false" outlineLevel="0" collapsed="false">
      <c r="A162" s="14" t="n">
        <v>161</v>
      </c>
      <c r="B162" s="14" t="s">
        <v>737</v>
      </c>
      <c r="C162" s="14" t="s">
        <v>145</v>
      </c>
      <c r="D162" s="14" t="s">
        <v>27</v>
      </c>
      <c r="E162" s="14" t="s">
        <v>735</v>
      </c>
      <c r="F162" s="14" t="s">
        <v>738</v>
      </c>
      <c r="G162" s="14" t="s">
        <v>642</v>
      </c>
      <c r="H162" s="14" t="s">
        <v>731</v>
      </c>
      <c r="I162" s="14" t="s">
        <v>732</v>
      </c>
      <c r="J162" s="14" t="s">
        <v>733</v>
      </c>
      <c r="K162" s="17" t="n">
        <v>2</v>
      </c>
      <c r="L162" s="14" t="s">
        <v>67</v>
      </c>
      <c r="M162" s="14" t="s">
        <v>68</v>
      </c>
      <c r="N162" s="14" t="s">
        <v>389</v>
      </c>
      <c r="O162" s="14"/>
      <c r="P162" s="14" t="s">
        <v>71</v>
      </c>
      <c r="Q162" s="14" t="s">
        <v>72</v>
      </c>
    </row>
    <row r="163" customFormat="false" ht="22.35" hidden="false" customHeight="false" outlineLevel="0" collapsed="false">
      <c r="A163" s="14" t="n">
        <v>162</v>
      </c>
      <c r="B163" s="14" t="s">
        <v>739</v>
      </c>
      <c r="C163" s="14" t="s">
        <v>740</v>
      </c>
      <c r="D163" s="14" t="s">
        <v>27</v>
      </c>
      <c r="E163" s="14" t="s">
        <v>741</v>
      </c>
      <c r="F163" s="14" t="s">
        <v>579</v>
      </c>
      <c r="G163" s="14" t="s">
        <v>63</v>
      </c>
      <c r="H163" s="14" t="s">
        <v>731</v>
      </c>
      <c r="I163" s="14" t="s">
        <v>732</v>
      </c>
      <c r="J163" s="14" t="s">
        <v>733</v>
      </c>
      <c r="K163" s="17" t="n">
        <v>2</v>
      </c>
      <c r="L163" s="14" t="s">
        <v>67</v>
      </c>
      <c r="M163" s="14" t="s">
        <v>68</v>
      </c>
      <c r="N163" s="14" t="s">
        <v>389</v>
      </c>
      <c r="O163" s="14" t="s">
        <v>742</v>
      </c>
      <c r="P163" s="14" t="s">
        <v>71</v>
      </c>
      <c r="Q163" s="14" t="s">
        <v>72</v>
      </c>
    </row>
    <row r="164" customFormat="false" ht="22.35" hidden="false" customHeight="false" outlineLevel="0" collapsed="false">
      <c r="A164" s="14" t="n">
        <v>163</v>
      </c>
      <c r="B164" s="14" t="s">
        <v>743</v>
      </c>
      <c r="C164" s="14" t="s">
        <v>145</v>
      </c>
      <c r="D164" s="14" t="s">
        <v>27</v>
      </c>
      <c r="E164" s="14" t="s">
        <v>735</v>
      </c>
      <c r="F164" s="14" t="s">
        <v>744</v>
      </c>
      <c r="G164" s="14" t="s">
        <v>77</v>
      </c>
      <c r="H164" s="14" t="s">
        <v>731</v>
      </c>
      <c r="I164" s="14" t="s">
        <v>732</v>
      </c>
      <c r="J164" s="14" t="s">
        <v>733</v>
      </c>
      <c r="K164" s="17" t="n">
        <v>2</v>
      </c>
      <c r="L164" s="14" t="s">
        <v>67</v>
      </c>
      <c r="M164" s="14" t="s">
        <v>68</v>
      </c>
      <c r="N164" s="14" t="s">
        <v>389</v>
      </c>
      <c r="O164" s="14"/>
      <c r="P164" s="14" t="s">
        <v>71</v>
      </c>
      <c r="Q164" s="14" t="s">
        <v>72</v>
      </c>
    </row>
    <row r="165" customFormat="false" ht="22.35" hidden="false" customHeight="false" outlineLevel="0" collapsed="false">
      <c r="A165" s="14" t="n">
        <v>164</v>
      </c>
      <c r="B165" s="14" t="s">
        <v>745</v>
      </c>
      <c r="C165" s="14" t="s">
        <v>145</v>
      </c>
      <c r="D165" s="14" t="s">
        <v>27</v>
      </c>
      <c r="E165" s="14" t="s">
        <v>746</v>
      </c>
      <c r="F165" s="14" t="s">
        <v>62</v>
      </c>
      <c r="G165" s="14" t="s">
        <v>63</v>
      </c>
      <c r="H165" s="14" t="s">
        <v>731</v>
      </c>
      <c r="I165" s="14" t="s">
        <v>732</v>
      </c>
      <c r="J165" s="14" t="s">
        <v>733</v>
      </c>
      <c r="K165" s="17" t="n">
        <v>2</v>
      </c>
      <c r="L165" s="14" t="s">
        <v>67</v>
      </c>
      <c r="M165" s="14" t="s">
        <v>68</v>
      </c>
      <c r="N165" s="14" t="s">
        <v>389</v>
      </c>
      <c r="O165" s="14"/>
      <c r="P165" s="14" t="s">
        <v>71</v>
      </c>
      <c r="Q165" s="14" t="s">
        <v>72</v>
      </c>
    </row>
    <row r="166" customFormat="false" ht="22.35" hidden="false" customHeight="false" outlineLevel="0" collapsed="false">
      <c r="A166" s="14" t="n">
        <v>165</v>
      </c>
      <c r="B166" s="14" t="s">
        <v>747</v>
      </c>
      <c r="C166" s="14" t="s">
        <v>145</v>
      </c>
      <c r="D166" s="14" t="s">
        <v>27</v>
      </c>
      <c r="E166" s="14" t="s">
        <v>748</v>
      </c>
      <c r="F166" s="14" t="s">
        <v>215</v>
      </c>
      <c r="G166" s="14" t="s">
        <v>77</v>
      </c>
      <c r="H166" s="14" t="s">
        <v>731</v>
      </c>
      <c r="I166" s="14" t="s">
        <v>732</v>
      </c>
      <c r="J166" s="14" t="s">
        <v>733</v>
      </c>
      <c r="K166" s="17" t="n">
        <v>2</v>
      </c>
      <c r="L166" s="14" t="s">
        <v>67</v>
      </c>
      <c r="M166" s="14" t="s">
        <v>68</v>
      </c>
      <c r="N166" s="14" t="s">
        <v>389</v>
      </c>
      <c r="O166" s="14"/>
      <c r="P166" s="14" t="s">
        <v>71</v>
      </c>
      <c r="Q166" s="14" t="s">
        <v>72</v>
      </c>
    </row>
    <row r="167" customFormat="false" ht="22.35" hidden="false" customHeight="false" outlineLevel="0" collapsed="false">
      <c r="A167" s="14" t="n">
        <v>166</v>
      </c>
      <c r="B167" s="14" t="s">
        <v>749</v>
      </c>
      <c r="C167" s="14" t="s">
        <v>750</v>
      </c>
      <c r="D167" s="14" t="s">
        <v>27</v>
      </c>
      <c r="E167" s="14" t="s">
        <v>730</v>
      </c>
      <c r="F167" s="14" t="s">
        <v>215</v>
      </c>
      <c r="G167" s="14" t="s">
        <v>77</v>
      </c>
      <c r="H167" s="14" t="s">
        <v>731</v>
      </c>
      <c r="I167" s="14" t="s">
        <v>732</v>
      </c>
      <c r="J167" s="14" t="s">
        <v>733</v>
      </c>
      <c r="K167" s="17" t="n">
        <v>2</v>
      </c>
      <c r="L167" s="14" t="s">
        <v>67</v>
      </c>
      <c r="M167" s="14" t="s">
        <v>68</v>
      </c>
      <c r="N167" s="14" t="s">
        <v>389</v>
      </c>
      <c r="O167" s="14" t="s">
        <v>742</v>
      </c>
      <c r="P167" s="14" t="s">
        <v>71</v>
      </c>
      <c r="Q167" s="14" t="s">
        <v>72</v>
      </c>
    </row>
    <row r="168" customFormat="false" ht="22.35" hidden="false" customHeight="false" outlineLevel="0" collapsed="false">
      <c r="A168" s="14" t="n">
        <v>167</v>
      </c>
      <c r="B168" s="14" t="s">
        <v>751</v>
      </c>
      <c r="C168" s="14" t="s">
        <v>752</v>
      </c>
      <c r="D168" s="14" t="s">
        <v>12</v>
      </c>
      <c r="E168" s="14" t="s">
        <v>753</v>
      </c>
      <c r="F168" s="14" t="s">
        <v>215</v>
      </c>
      <c r="G168" s="14" t="s">
        <v>77</v>
      </c>
      <c r="H168" s="14" t="s">
        <v>754</v>
      </c>
      <c r="I168" s="14" t="s">
        <v>239</v>
      </c>
      <c r="J168" s="14" t="s">
        <v>240</v>
      </c>
      <c r="K168" s="17" t="n">
        <v>2</v>
      </c>
      <c r="L168" s="14" t="s">
        <v>67</v>
      </c>
      <c r="M168" s="14" t="s">
        <v>68</v>
      </c>
      <c r="N168" s="14" t="s">
        <v>389</v>
      </c>
      <c r="O168" s="14"/>
      <c r="P168" s="14" t="s">
        <v>71</v>
      </c>
      <c r="Q168" s="14" t="s">
        <v>72</v>
      </c>
    </row>
    <row r="169" customFormat="false" ht="22.35" hidden="false" customHeight="false" outlineLevel="0" collapsed="false">
      <c r="A169" s="14" t="n">
        <v>168</v>
      </c>
      <c r="B169" s="14" t="s">
        <v>755</v>
      </c>
      <c r="C169" s="14"/>
      <c r="D169" s="14" t="s">
        <v>12</v>
      </c>
      <c r="E169" s="14" t="s">
        <v>756</v>
      </c>
      <c r="F169" s="14" t="s">
        <v>62</v>
      </c>
      <c r="G169" s="14" t="s">
        <v>63</v>
      </c>
      <c r="H169" s="14" t="s">
        <v>754</v>
      </c>
      <c r="I169" s="14" t="s">
        <v>239</v>
      </c>
      <c r="J169" s="14" t="s">
        <v>240</v>
      </c>
      <c r="K169" s="17" t="n">
        <v>2</v>
      </c>
      <c r="L169" s="14" t="s">
        <v>67</v>
      </c>
      <c r="M169" s="14" t="s">
        <v>757</v>
      </c>
      <c r="N169" s="14" t="s">
        <v>389</v>
      </c>
      <c r="O169" s="14"/>
      <c r="P169" s="14" t="s">
        <v>90</v>
      </c>
      <c r="Q169" s="16" t="s">
        <v>758</v>
      </c>
    </row>
    <row r="170" customFormat="false" ht="22.35" hidden="false" customHeight="false" outlineLevel="0" collapsed="false">
      <c r="A170" s="14" t="n">
        <v>169</v>
      </c>
      <c r="B170" s="14" t="s">
        <v>759</v>
      </c>
      <c r="C170" s="14"/>
      <c r="D170" s="14" t="s">
        <v>12</v>
      </c>
      <c r="E170" s="14" t="s">
        <v>760</v>
      </c>
      <c r="F170" s="14" t="s">
        <v>62</v>
      </c>
      <c r="G170" s="14" t="s">
        <v>63</v>
      </c>
      <c r="H170" s="14" t="s">
        <v>761</v>
      </c>
      <c r="I170" s="14" t="s">
        <v>762</v>
      </c>
      <c r="J170" s="14" t="s">
        <v>233</v>
      </c>
      <c r="K170" s="17" t="n">
        <v>2</v>
      </c>
      <c r="L170" s="14" t="s">
        <v>67</v>
      </c>
      <c r="M170" s="14" t="s">
        <v>68</v>
      </c>
      <c r="N170" s="14" t="s">
        <v>389</v>
      </c>
      <c r="O170" s="14"/>
      <c r="P170" s="14" t="s">
        <v>71</v>
      </c>
      <c r="Q170" s="14" t="s">
        <v>72</v>
      </c>
    </row>
    <row r="171" customFormat="false" ht="22.35" hidden="false" customHeight="false" outlineLevel="0" collapsed="false">
      <c r="A171" s="14" t="n">
        <v>170</v>
      </c>
      <c r="B171" s="14" t="s">
        <v>763</v>
      </c>
      <c r="C171" s="14" t="s">
        <v>764</v>
      </c>
      <c r="D171" s="14" t="s">
        <v>12</v>
      </c>
      <c r="E171" s="14" t="s">
        <v>765</v>
      </c>
      <c r="F171" s="14" t="s">
        <v>492</v>
      </c>
      <c r="G171" s="14" t="s">
        <v>493</v>
      </c>
      <c r="H171" s="14" t="s">
        <v>754</v>
      </c>
      <c r="I171" s="14" t="s">
        <v>239</v>
      </c>
      <c r="J171" s="14" t="s">
        <v>240</v>
      </c>
      <c r="K171" s="17" t="n">
        <v>2</v>
      </c>
      <c r="L171" s="14" t="s">
        <v>67</v>
      </c>
      <c r="M171" s="14" t="s">
        <v>68</v>
      </c>
      <c r="N171" s="14" t="s">
        <v>389</v>
      </c>
      <c r="O171" s="14"/>
      <c r="P171" s="14" t="s">
        <v>71</v>
      </c>
      <c r="Q171" s="14" t="s">
        <v>72</v>
      </c>
    </row>
    <row r="172" customFormat="false" ht="22.35" hidden="false" customHeight="false" outlineLevel="0" collapsed="false">
      <c r="A172" s="14" t="n">
        <v>171</v>
      </c>
      <c r="B172" s="14" t="s">
        <v>766</v>
      </c>
      <c r="C172" s="14" t="s">
        <v>767</v>
      </c>
      <c r="D172" s="14" t="s">
        <v>12</v>
      </c>
      <c r="E172" s="14" t="s">
        <v>768</v>
      </c>
      <c r="F172" s="14" t="s">
        <v>769</v>
      </c>
      <c r="G172" s="14" t="s">
        <v>77</v>
      </c>
      <c r="H172" s="14" t="s">
        <v>754</v>
      </c>
      <c r="I172" s="14" t="s">
        <v>239</v>
      </c>
      <c r="J172" s="14" t="s">
        <v>240</v>
      </c>
      <c r="K172" s="17" t="n">
        <v>2</v>
      </c>
      <c r="L172" s="14" t="s">
        <v>67</v>
      </c>
      <c r="M172" s="14" t="s">
        <v>68</v>
      </c>
      <c r="N172" s="14" t="s">
        <v>389</v>
      </c>
      <c r="O172" s="14"/>
      <c r="P172" s="14" t="s">
        <v>71</v>
      </c>
      <c r="Q172" s="14" t="s">
        <v>72</v>
      </c>
    </row>
    <row r="173" customFormat="false" ht="22.35" hidden="false" customHeight="false" outlineLevel="0" collapsed="false">
      <c r="A173" s="14" t="n">
        <v>172</v>
      </c>
      <c r="B173" s="14" t="s">
        <v>770</v>
      </c>
      <c r="C173" s="14" t="s">
        <v>771</v>
      </c>
      <c r="D173" s="14" t="s">
        <v>12</v>
      </c>
      <c r="E173" s="14" t="s">
        <v>753</v>
      </c>
      <c r="F173" s="14" t="s">
        <v>215</v>
      </c>
      <c r="G173" s="14" t="s">
        <v>77</v>
      </c>
      <c r="H173" s="14" t="s">
        <v>754</v>
      </c>
      <c r="I173" s="14" t="s">
        <v>239</v>
      </c>
      <c r="J173" s="14" t="s">
        <v>240</v>
      </c>
      <c r="K173" s="17" t="n">
        <v>2</v>
      </c>
      <c r="L173" s="14" t="s">
        <v>67</v>
      </c>
      <c r="M173" s="14" t="s">
        <v>68</v>
      </c>
      <c r="N173" s="14" t="s">
        <v>389</v>
      </c>
      <c r="O173" s="14"/>
      <c r="P173" s="14" t="s">
        <v>71</v>
      </c>
      <c r="Q173" s="14" t="s">
        <v>72</v>
      </c>
    </row>
    <row r="174" customFormat="false" ht="22.35" hidden="false" customHeight="false" outlineLevel="0" collapsed="false">
      <c r="A174" s="14" t="n">
        <v>173</v>
      </c>
      <c r="B174" s="14" t="s">
        <v>772</v>
      </c>
      <c r="C174" s="14" t="s">
        <v>773</v>
      </c>
      <c r="D174" s="14" t="s">
        <v>12</v>
      </c>
      <c r="E174" s="14" t="s">
        <v>753</v>
      </c>
      <c r="F174" s="14" t="s">
        <v>215</v>
      </c>
      <c r="G174" s="14" t="s">
        <v>77</v>
      </c>
      <c r="H174" s="14" t="s">
        <v>754</v>
      </c>
      <c r="I174" s="14" t="s">
        <v>239</v>
      </c>
      <c r="J174" s="14" t="s">
        <v>240</v>
      </c>
      <c r="K174" s="17" t="n">
        <v>2</v>
      </c>
      <c r="L174" s="14" t="s">
        <v>67</v>
      </c>
      <c r="M174" s="14" t="s">
        <v>68</v>
      </c>
      <c r="N174" s="14" t="s">
        <v>389</v>
      </c>
      <c r="O174" s="14"/>
      <c r="P174" s="14" t="s">
        <v>71</v>
      </c>
      <c r="Q174" s="14" t="s">
        <v>72</v>
      </c>
    </row>
    <row r="175" customFormat="false" ht="22.35" hidden="false" customHeight="false" outlineLevel="0" collapsed="false">
      <c r="A175" s="14" t="n">
        <v>174</v>
      </c>
      <c r="B175" s="14" t="s">
        <v>774</v>
      </c>
      <c r="C175" s="14" t="s">
        <v>145</v>
      </c>
      <c r="D175" s="14" t="s">
        <v>12</v>
      </c>
      <c r="E175" s="14" t="s">
        <v>775</v>
      </c>
      <c r="F175" s="14" t="s">
        <v>215</v>
      </c>
      <c r="G175" s="14" t="s">
        <v>77</v>
      </c>
      <c r="H175" s="14" t="s">
        <v>761</v>
      </c>
      <c r="I175" s="14" t="s">
        <v>762</v>
      </c>
      <c r="J175" s="14" t="s">
        <v>233</v>
      </c>
      <c r="K175" s="17" t="n">
        <v>2</v>
      </c>
      <c r="L175" s="14" t="s">
        <v>67</v>
      </c>
      <c r="M175" s="14" t="s">
        <v>68</v>
      </c>
      <c r="N175" s="14" t="s">
        <v>389</v>
      </c>
      <c r="O175" s="14"/>
      <c r="P175" s="14" t="s">
        <v>71</v>
      </c>
      <c r="Q175" s="14" t="s">
        <v>72</v>
      </c>
    </row>
    <row r="176" customFormat="false" ht="22.35" hidden="false" customHeight="false" outlineLevel="0" collapsed="false">
      <c r="A176" s="14" t="n">
        <v>175</v>
      </c>
      <c r="B176" s="14" t="s">
        <v>776</v>
      </c>
      <c r="C176" s="14"/>
      <c r="D176" s="14" t="s">
        <v>12</v>
      </c>
      <c r="E176" s="14" t="s">
        <v>760</v>
      </c>
      <c r="F176" s="14" t="s">
        <v>641</v>
      </c>
      <c r="G176" s="14" t="s">
        <v>642</v>
      </c>
      <c r="H176" s="14" t="s">
        <v>761</v>
      </c>
      <c r="I176" s="14" t="s">
        <v>762</v>
      </c>
      <c r="J176" s="14" t="s">
        <v>233</v>
      </c>
      <c r="K176" s="17" t="n">
        <v>2</v>
      </c>
      <c r="L176" s="14" t="s">
        <v>67</v>
      </c>
      <c r="M176" s="14" t="s">
        <v>68</v>
      </c>
      <c r="N176" s="14" t="s">
        <v>389</v>
      </c>
      <c r="O176" s="14"/>
      <c r="P176" s="14" t="s">
        <v>71</v>
      </c>
      <c r="Q176" s="14" t="s">
        <v>72</v>
      </c>
    </row>
    <row r="177" customFormat="false" ht="22.35" hidden="false" customHeight="false" outlineLevel="0" collapsed="false">
      <c r="A177" s="14" t="n">
        <v>176</v>
      </c>
      <c r="B177" s="14" t="s">
        <v>777</v>
      </c>
      <c r="C177" s="14"/>
      <c r="D177" s="14" t="s">
        <v>12</v>
      </c>
      <c r="E177" s="14" t="s">
        <v>760</v>
      </c>
      <c r="F177" s="14" t="s">
        <v>215</v>
      </c>
      <c r="G177" s="14" t="s">
        <v>77</v>
      </c>
      <c r="H177" s="14" t="s">
        <v>761</v>
      </c>
      <c r="I177" s="14" t="s">
        <v>762</v>
      </c>
      <c r="J177" s="14" t="s">
        <v>233</v>
      </c>
      <c r="K177" s="17" t="n">
        <v>2</v>
      </c>
      <c r="L177" s="14" t="s">
        <v>67</v>
      </c>
      <c r="M177" s="14" t="s">
        <v>68</v>
      </c>
      <c r="N177" s="14" t="s">
        <v>389</v>
      </c>
      <c r="O177" s="14"/>
      <c r="P177" s="14" t="s">
        <v>71</v>
      </c>
      <c r="Q177" s="14" t="s">
        <v>72</v>
      </c>
    </row>
    <row r="178" customFormat="false" ht="22.35" hidden="false" customHeight="false" outlineLevel="0" collapsed="false">
      <c r="A178" s="14" t="n">
        <v>177</v>
      </c>
      <c r="B178" s="14" t="s">
        <v>778</v>
      </c>
      <c r="C178" s="14"/>
      <c r="D178" s="14" t="s">
        <v>12</v>
      </c>
      <c r="E178" s="14" t="s">
        <v>753</v>
      </c>
      <c r="F178" s="14" t="s">
        <v>243</v>
      </c>
      <c r="G178" s="14" t="s">
        <v>63</v>
      </c>
      <c r="H178" s="14" t="s">
        <v>754</v>
      </c>
      <c r="I178" s="14" t="s">
        <v>239</v>
      </c>
      <c r="J178" s="14" t="s">
        <v>240</v>
      </c>
      <c r="K178" s="17" t="n">
        <v>2</v>
      </c>
      <c r="L178" s="14" t="s">
        <v>67</v>
      </c>
      <c r="M178" s="14" t="s">
        <v>779</v>
      </c>
      <c r="N178" s="14" t="s">
        <v>389</v>
      </c>
      <c r="O178" s="14" t="s">
        <v>780</v>
      </c>
      <c r="P178" s="14" t="s">
        <v>90</v>
      </c>
      <c r="Q178" s="16" t="s">
        <v>121</v>
      </c>
    </row>
    <row r="179" customFormat="false" ht="22.35" hidden="false" customHeight="false" outlineLevel="0" collapsed="false">
      <c r="A179" s="14" t="n">
        <v>178</v>
      </c>
      <c r="B179" s="14" t="s">
        <v>781</v>
      </c>
      <c r="C179" s="14"/>
      <c r="D179" s="14" t="s">
        <v>12</v>
      </c>
      <c r="E179" s="14" t="s">
        <v>760</v>
      </c>
      <c r="F179" s="14" t="s">
        <v>641</v>
      </c>
      <c r="G179" s="14" t="s">
        <v>642</v>
      </c>
      <c r="H179" s="14" t="s">
        <v>761</v>
      </c>
      <c r="I179" s="14" t="s">
        <v>762</v>
      </c>
      <c r="J179" s="14" t="s">
        <v>233</v>
      </c>
      <c r="K179" s="17" t="n">
        <v>2</v>
      </c>
      <c r="L179" s="14" t="s">
        <v>67</v>
      </c>
      <c r="M179" s="14" t="s">
        <v>68</v>
      </c>
      <c r="N179" s="14" t="s">
        <v>389</v>
      </c>
      <c r="O179" s="14"/>
      <c r="P179" s="14" t="s">
        <v>71</v>
      </c>
      <c r="Q179" s="14" t="s">
        <v>72</v>
      </c>
    </row>
    <row r="180" customFormat="false" ht="22.35" hidden="false" customHeight="false" outlineLevel="0" collapsed="false">
      <c r="A180" s="14" t="n">
        <v>179</v>
      </c>
      <c r="B180" s="14" t="s">
        <v>782</v>
      </c>
      <c r="C180" s="14" t="s">
        <v>783</v>
      </c>
      <c r="D180" s="14" t="s">
        <v>12</v>
      </c>
      <c r="E180" s="14" t="s">
        <v>753</v>
      </c>
      <c r="F180" s="14" t="s">
        <v>215</v>
      </c>
      <c r="G180" s="14" t="s">
        <v>77</v>
      </c>
      <c r="H180" s="14" t="s">
        <v>754</v>
      </c>
      <c r="I180" s="14" t="s">
        <v>239</v>
      </c>
      <c r="J180" s="14" t="s">
        <v>240</v>
      </c>
      <c r="K180" s="17" t="n">
        <v>2</v>
      </c>
      <c r="L180" s="14" t="s">
        <v>67</v>
      </c>
      <c r="M180" s="14" t="s">
        <v>68</v>
      </c>
      <c r="N180" s="14" t="s">
        <v>389</v>
      </c>
      <c r="O180" s="14"/>
      <c r="P180" s="14" t="s">
        <v>71</v>
      </c>
      <c r="Q180" s="14" t="s">
        <v>72</v>
      </c>
    </row>
    <row r="181" customFormat="false" ht="22.35" hidden="false" customHeight="false" outlineLevel="0" collapsed="false">
      <c r="A181" s="14" t="n">
        <v>180</v>
      </c>
      <c r="B181" s="14" t="s">
        <v>784</v>
      </c>
      <c r="C181" s="14"/>
      <c r="D181" s="14" t="s">
        <v>12</v>
      </c>
      <c r="E181" s="14" t="s">
        <v>760</v>
      </c>
      <c r="F181" s="14" t="s">
        <v>62</v>
      </c>
      <c r="G181" s="14" t="s">
        <v>63</v>
      </c>
      <c r="H181" s="14" t="s">
        <v>761</v>
      </c>
      <c r="I181" s="14" t="s">
        <v>762</v>
      </c>
      <c r="J181" s="14" t="s">
        <v>233</v>
      </c>
      <c r="K181" s="17" t="n">
        <v>2</v>
      </c>
      <c r="L181" s="14" t="s">
        <v>67</v>
      </c>
      <c r="M181" s="14" t="s">
        <v>68</v>
      </c>
      <c r="N181" s="14" t="s">
        <v>389</v>
      </c>
      <c r="O181" s="14"/>
      <c r="P181" s="14" t="s">
        <v>71</v>
      </c>
      <c r="Q181" s="14" t="s">
        <v>72</v>
      </c>
    </row>
    <row r="182" customFormat="false" ht="22.35" hidden="false" customHeight="false" outlineLevel="0" collapsed="false">
      <c r="A182" s="14" t="n">
        <v>181</v>
      </c>
      <c r="B182" s="14" t="s">
        <v>785</v>
      </c>
      <c r="C182" s="14"/>
      <c r="D182" s="14" t="s">
        <v>12</v>
      </c>
      <c r="E182" s="14" t="s">
        <v>753</v>
      </c>
      <c r="F182" s="14" t="s">
        <v>215</v>
      </c>
      <c r="G182" s="14" t="s">
        <v>77</v>
      </c>
      <c r="H182" s="14" t="s">
        <v>754</v>
      </c>
      <c r="I182" s="14" t="s">
        <v>239</v>
      </c>
      <c r="J182" s="14" t="s">
        <v>240</v>
      </c>
      <c r="K182" s="17" t="n">
        <v>2</v>
      </c>
      <c r="L182" s="14" t="s">
        <v>67</v>
      </c>
      <c r="M182" s="14" t="s">
        <v>68</v>
      </c>
      <c r="N182" s="14" t="s">
        <v>389</v>
      </c>
      <c r="O182" s="14" t="s">
        <v>786</v>
      </c>
      <c r="P182" s="14" t="s">
        <v>71</v>
      </c>
      <c r="Q182" s="14" t="s">
        <v>72</v>
      </c>
    </row>
    <row r="183" customFormat="false" ht="22.35" hidden="false" customHeight="false" outlineLevel="0" collapsed="false">
      <c r="A183" s="14" t="n">
        <v>182</v>
      </c>
      <c r="B183" s="14" t="s">
        <v>787</v>
      </c>
      <c r="C183" s="14" t="s">
        <v>565</v>
      </c>
      <c r="D183" s="14" t="s">
        <v>12</v>
      </c>
      <c r="E183" s="14" t="s">
        <v>788</v>
      </c>
      <c r="F183" s="14" t="s">
        <v>62</v>
      </c>
      <c r="G183" s="14" t="s">
        <v>63</v>
      </c>
      <c r="H183" s="14" t="s">
        <v>761</v>
      </c>
      <c r="I183" s="14" t="s">
        <v>762</v>
      </c>
      <c r="J183" s="14" t="s">
        <v>233</v>
      </c>
      <c r="K183" s="17" t="n">
        <v>2</v>
      </c>
      <c r="L183" s="14" t="s">
        <v>67</v>
      </c>
      <c r="M183" s="14" t="s">
        <v>68</v>
      </c>
      <c r="N183" s="14" t="s">
        <v>389</v>
      </c>
      <c r="O183" s="14"/>
      <c r="P183" s="14" t="s">
        <v>71</v>
      </c>
      <c r="Q183" s="14" t="s">
        <v>72</v>
      </c>
    </row>
    <row r="184" customFormat="false" ht="22.35" hidden="false" customHeight="false" outlineLevel="0" collapsed="false">
      <c r="A184" s="14" t="n">
        <v>183</v>
      </c>
      <c r="B184" s="14" t="s">
        <v>789</v>
      </c>
      <c r="C184" s="14" t="s">
        <v>790</v>
      </c>
      <c r="D184" s="14" t="s">
        <v>12</v>
      </c>
      <c r="E184" s="14" t="s">
        <v>753</v>
      </c>
      <c r="F184" s="14" t="s">
        <v>215</v>
      </c>
      <c r="G184" s="14" t="s">
        <v>77</v>
      </c>
      <c r="H184" s="14" t="s">
        <v>754</v>
      </c>
      <c r="I184" s="14" t="s">
        <v>239</v>
      </c>
      <c r="J184" s="14" t="s">
        <v>240</v>
      </c>
      <c r="K184" s="17" t="n">
        <v>2</v>
      </c>
      <c r="L184" s="14" t="s">
        <v>67</v>
      </c>
      <c r="M184" s="14" t="s">
        <v>68</v>
      </c>
      <c r="N184" s="14" t="s">
        <v>389</v>
      </c>
      <c r="O184" s="14"/>
      <c r="P184" s="14" t="s">
        <v>71</v>
      </c>
      <c r="Q184" s="14" t="s">
        <v>72</v>
      </c>
    </row>
    <row r="185" customFormat="false" ht="22.35" hidden="false" customHeight="false" outlineLevel="0" collapsed="false">
      <c r="A185" s="14" t="n">
        <v>184</v>
      </c>
      <c r="B185" s="14" t="s">
        <v>791</v>
      </c>
      <c r="C185" s="14" t="s">
        <v>792</v>
      </c>
      <c r="D185" s="14" t="s">
        <v>12</v>
      </c>
      <c r="E185" s="14" t="s">
        <v>753</v>
      </c>
      <c r="F185" s="14" t="s">
        <v>147</v>
      </c>
      <c r="G185" s="14" t="s">
        <v>63</v>
      </c>
      <c r="H185" s="14" t="s">
        <v>754</v>
      </c>
      <c r="I185" s="14" t="s">
        <v>239</v>
      </c>
      <c r="J185" s="14" t="s">
        <v>240</v>
      </c>
      <c r="K185" s="17" t="n">
        <v>2</v>
      </c>
      <c r="L185" s="14" t="s">
        <v>67</v>
      </c>
      <c r="M185" s="14" t="s">
        <v>68</v>
      </c>
      <c r="N185" s="14" t="s">
        <v>389</v>
      </c>
      <c r="O185" s="14"/>
      <c r="P185" s="14" t="s">
        <v>71</v>
      </c>
      <c r="Q185" s="14" t="s">
        <v>72</v>
      </c>
    </row>
    <row r="186" customFormat="false" ht="22.35" hidden="false" customHeight="false" outlineLevel="0" collapsed="false">
      <c r="A186" s="14" t="n">
        <v>185</v>
      </c>
      <c r="B186" s="14" t="s">
        <v>793</v>
      </c>
      <c r="C186" s="14" t="s">
        <v>273</v>
      </c>
      <c r="D186" s="14" t="s">
        <v>12</v>
      </c>
      <c r="E186" s="14" t="s">
        <v>760</v>
      </c>
      <c r="F186" s="14" t="s">
        <v>62</v>
      </c>
      <c r="G186" s="14" t="s">
        <v>63</v>
      </c>
      <c r="H186" s="14" t="s">
        <v>761</v>
      </c>
      <c r="I186" s="14" t="s">
        <v>762</v>
      </c>
      <c r="J186" s="14" t="s">
        <v>233</v>
      </c>
      <c r="K186" s="17" t="n">
        <v>2</v>
      </c>
      <c r="L186" s="14" t="s">
        <v>67</v>
      </c>
      <c r="M186" s="14" t="s">
        <v>68</v>
      </c>
      <c r="N186" s="14" t="s">
        <v>389</v>
      </c>
      <c r="O186" s="14"/>
      <c r="P186" s="14" t="s">
        <v>71</v>
      </c>
      <c r="Q186" s="14" t="s">
        <v>72</v>
      </c>
    </row>
    <row r="187" customFormat="false" ht="22.35" hidden="false" customHeight="false" outlineLevel="0" collapsed="false">
      <c r="A187" s="14" t="n">
        <v>186</v>
      </c>
      <c r="B187" s="14" t="s">
        <v>794</v>
      </c>
      <c r="C187" s="14" t="s">
        <v>273</v>
      </c>
      <c r="D187" s="14" t="s">
        <v>12</v>
      </c>
      <c r="E187" s="14" t="s">
        <v>760</v>
      </c>
      <c r="F187" s="14" t="s">
        <v>625</v>
      </c>
      <c r="G187" s="14" t="s">
        <v>493</v>
      </c>
      <c r="H187" s="14" t="s">
        <v>761</v>
      </c>
      <c r="I187" s="14" t="s">
        <v>762</v>
      </c>
      <c r="J187" s="14" t="s">
        <v>233</v>
      </c>
      <c r="K187" s="17" t="n">
        <v>2</v>
      </c>
      <c r="L187" s="14" t="s">
        <v>67</v>
      </c>
      <c r="M187" s="14" t="s">
        <v>68</v>
      </c>
      <c r="N187" s="14" t="s">
        <v>389</v>
      </c>
      <c r="O187" s="14"/>
      <c r="P187" s="14" t="s">
        <v>71</v>
      </c>
      <c r="Q187" s="14" t="s">
        <v>72</v>
      </c>
    </row>
    <row r="188" customFormat="false" ht="22.35" hidden="false" customHeight="false" outlineLevel="0" collapsed="false">
      <c r="A188" s="14" t="n">
        <v>187</v>
      </c>
      <c r="B188" s="14" t="s">
        <v>795</v>
      </c>
      <c r="C188" s="14" t="s">
        <v>796</v>
      </c>
      <c r="D188" s="14" t="s">
        <v>12</v>
      </c>
      <c r="E188" s="14" t="s">
        <v>760</v>
      </c>
      <c r="F188" s="14" t="s">
        <v>641</v>
      </c>
      <c r="G188" s="14" t="s">
        <v>642</v>
      </c>
      <c r="H188" s="14" t="s">
        <v>761</v>
      </c>
      <c r="I188" s="14" t="s">
        <v>762</v>
      </c>
      <c r="J188" s="14" t="s">
        <v>233</v>
      </c>
      <c r="K188" s="17" t="n">
        <v>2</v>
      </c>
      <c r="L188" s="14" t="s">
        <v>67</v>
      </c>
      <c r="M188" s="14" t="s">
        <v>68</v>
      </c>
      <c r="N188" s="14" t="s">
        <v>389</v>
      </c>
      <c r="O188" s="14"/>
      <c r="P188" s="14" t="s">
        <v>71</v>
      </c>
      <c r="Q188" s="14" t="s">
        <v>72</v>
      </c>
    </row>
    <row r="189" customFormat="false" ht="22.35" hidden="false" customHeight="false" outlineLevel="0" collapsed="false">
      <c r="A189" s="14" t="n">
        <v>188</v>
      </c>
      <c r="B189" s="14" t="s">
        <v>797</v>
      </c>
      <c r="C189" s="14" t="s">
        <v>798</v>
      </c>
      <c r="D189" s="14" t="s">
        <v>12</v>
      </c>
      <c r="E189" s="14" t="s">
        <v>753</v>
      </c>
      <c r="F189" s="14" t="s">
        <v>62</v>
      </c>
      <c r="G189" s="14" t="s">
        <v>63</v>
      </c>
      <c r="H189" s="14" t="s">
        <v>754</v>
      </c>
      <c r="I189" s="14" t="s">
        <v>239</v>
      </c>
      <c r="J189" s="14" t="s">
        <v>240</v>
      </c>
      <c r="K189" s="17" t="n">
        <v>2</v>
      </c>
      <c r="L189" s="14" t="s">
        <v>67</v>
      </c>
      <c r="M189" s="14" t="s">
        <v>68</v>
      </c>
      <c r="N189" s="14" t="s">
        <v>389</v>
      </c>
      <c r="O189" s="14"/>
      <c r="P189" s="14" t="s">
        <v>71</v>
      </c>
      <c r="Q189" s="14" t="s">
        <v>72</v>
      </c>
    </row>
    <row r="190" customFormat="false" ht="22.35" hidden="false" customHeight="false" outlineLevel="0" collapsed="false">
      <c r="A190" s="14" t="n">
        <v>189</v>
      </c>
      <c r="B190" s="14" t="s">
        <v>799</v>
      </c>
      <c r="C190" s="14" t="s">
        <v>800</v>
      </c>
      <c r="D190" s="14" t="s">
        <v>12</v>
      </c>
      <c r="E190" s="14" t="s">
        <v>292</v>
      </c>
      <c r="F190" s="14" t="s">
        <v>215</v>
      </c>
      <c r="G190" s="14" t="s">
        <v>77</v>
      </c>
      <c r="H190" s="14" t="s">
        <v>761</v>
      </c>
      <c r="I190" s="14" t="s">
        <v>762</v>
      </c>
      <c r="J190" s="14" t="s">
        <v>233</v>
      </c>
      <c r="K190" s="17" t="n">
        <v>2</v>
      </c>
      <c r="L190" s="14" t="s">
        <v>67</v>
      </c>
      <c r="M190" s="14" t="s">
        <v>68</v>
      </c>
      <c r="N190" s="14" t="s">
        <v>389</v>
      </c>
      <c r="O190" s="14"/>
      <c r="P190" s="14" t="s">
        <v>71</v>
      </c>
      <c r="Q190" s="14" t="s">
        <v>72</v>
      </c>
    </row>
    <row r="191" customFormat="false" ht="22.35" hidden="false" customHeight="false" outlineLevel="0" collapsed="false">
      <c r="A191" s="14" t="n">
        <v>190</v>
      </c>
      <c r="B191" s="14" t="s">
        <v>801</v>
      </c>
      <c r="C191" s="14"/>
      <c r="D191" s="14" t="s">
        <v>15</v>
      </c>
      <c r="E191" s="14" t="s">
        <v>802</v>
      </c>
      <c r="F191" s="14" t="s">
        <v>803</v>
      </c>
      <c r="G191" s="14" t="s">
        <v>63</v>
      </c>
      <c r="H191" s="14" t="s">
        <v>804</v>
      </c>
      <c r="I191" s="14" t="s">
        <v>805</v>
      </c>
      <c r="J191" s="14" t="s">
        <v>806</v>
      </c>
      <c r="K191" s="17" t="n">
        <v>2</v>
      </c>
      <c r="L191" s="14" t="s">
        <v>67</v>
      </c>
      <c r="M191" s="14" t="s">
        <v>68</v>
      </c>
      <c r="N191" s="14" t="s">
        <v>389</v>
      </c>
      <c r="O191" s="14"/>
      <c r="P191" s="14" t="s">
        <v>71</v>
      </c>
      <c r="Q191" s="14" t="s">
        <v>72</v>
      </c>
    </row>
    <row r="192" customFormat="false" ht="22.35" hidden="false" customHeight="false" outlineLevel="0" collapsed="false">
      <c r="A192" s="14" t="n">
        <v>191</v>
      </c>
      <c r="B192" s="14" t="s">
        <v>807</v>
      </c>
      <c r="C192" s="14" t="s">
        <v>60</v>
      </c>
      <c r="D192" s="14" t="s">
        <v>15</v>
      </c>
      <c r="E192" s="14" t="s">
        <v>808</v>
      </c>
      <c r="F192" s="14" t="s">
        <v>188</v>
      </c>
      <c r="G192" s="14" t="s">
        <v>63</v>
      </c>
      <c r="H192" s="14" t="s">
        <v>804</v>
      </c>
      <c r="I192" s="14" t="s">
        <v>805</v>
      </c>
      <c r="J192" s="14" t="s">
        <v>806</v>
      </c>
      <c r="K192" s="17" t="n">
        <v>2</v>
      </c>
      <c r="L192" s="14" t="s">
        <v>67</v>
      </c>
      <c r="M192" s="14" t="s">
        <v>68</v>
      </c>
      <c r="N192" s="14" t="s">
        <v>389</v>
      </c>
      <c r="O192" s="14" t="s">
        <v>70</v>
      </c>
      <c r="P192" s="14" t="s">
        <v>71</v>
      </c>
      <c r="Q192" s="14" t="s">
        <v>72</v>
      </c>
    </row>
    <row r="193" customFormat="false" ht="22.35" hidden="false" customHeight="false" outlineLevel="0" collapsed="false">
      <c r="A193" s="14" t="n">
        <v>192</v>
      </c>
      <c r="B193" s="14" t="s">
        <v>809</v>
      </c>
      <c r="C193" s="14" t="s">
        <v>222</v>
      </c>
      <c r="D193" s="14" t="s">
        <v>15</v>
      </c>
      <c r="E193" s="14" t="s">
        <v>810</v>
      </c>
      <c r="F193" s="14" t="s">
        <v>147</v>
      </c>
      <c r="G193" s="14" t="s">
        <v>63</v>
      </c>
      <c r="H193" s="14" t="s">
        <v>804</v>
      </c>
      <c r="I193" s="14" t="s">
        <v>805</v>
      </c>
      <c r="J193" s="14" t="s">
        <v>806</v>
      </c>
      <c r="K193" s="17" t="n">
        <v>2</v>
      </c>
      <c r="L193" s="14" t="s">
        <v>67</v>
      </c>
      <c r="M193" s="14" t="s">
        <v>811</v>
      </c>
      <c r="N193" s="14" t="s">
        <v>389</v>
      </c>
      <c r="O193" s="14"/>
      <c r="P193" s="14" t="s">
        <v>90</v>
      </c>
      <c r="Q193" s="14" t="s">
        <v>72</v>
      </c>
    </row>
    <row r="194" customFormat="false" ht="22.35" hidden="false" customHeight="false" outlineLevel="0" collapsed="false">
      <c r="A194" s="14" t="n">
        <v>193</v>
      </c>
      <c r="B194" s="14" t="s">
        <v>812</v>
      </c>
      <c r="C194" s="14" t="s">
        <v>813</v>
      </c>
      <c r="D194" s="14" t="s">
        <v>15</v>
      </c>
      <c r="E194" s="14" t="s">
        <v>299</v>
      </c>
      <c r="F194" s="14" t="s">
        <v>306</v>
      </c>
      <c r="G194" s="14" t="s">
        <v>307</v>
      </c>
      <c r="H194" s="14" t="s">
        <v>804</v>
      </c>
      <c r="I194" s="14" t="s">
        <v>805</v>
      </c>
      <c r="J194" s="14" t="s">
        <v>806</v>
      </c>
      <c r="K194" s="17" t="n">
        <v>2</v>
      </c>
      <c r="L194" s="14" t="s">
        <v>67</v>
      </c>
      <c r="M194" s="14" t="s">
        <v>68</v>
      </c>
      <c r="N194" s="14" t="s">
        <v>389</v>
      </c>
      <c r="O194" s="14"/>
      <c r="P194" s="14" t="s">
        <v>71</v>
      </c>
      <c r="Q194" s="14" t="s">
        <v>72</v>
      </c>
    </row>
    <row r="195" customFormat="false" ht="22.35" hidden="false" customHeight="false" outlineLevel="0" collapsed="false">
      <c r="A195" s="14" t="n">
        <v>194</v>
      </c>
      <c r="B195" s="14" t="s">
        <v>814</v>
      </c>
      <c r="C195" s="14" t="s">
        <v>104</v>
      </c>
      <c r="D195" s="14" t="s">
        <v>15</v>
      </c>
      <c r="E195" s="14" t="s">
        <v>815</v>
      </c>
      <c r="F195" s="14" t="s">
        <v>644</v>
      </c>
      <c r="G195" s="14" t="s">
        <v>63</v>
      </c>
      <c r="H195" s="14" t="s">
        <v>804</v>
      </c>
      <c r="I195" s="14" t="s">
        <v>805</v>
      </c>
      <c r="J195" s="14" t="s">
        <v>806</v>
      </c>
      <c r="K195" s="17" t="n">
        <v>2</v>
      </c>
      <c r="L195" s="14" t="s">
        <v>67</v>
      </c>
      <c r="M195" s="14" t="s">
        <v>68</v>
      </c>
      <c r="N195" s="14" t="s">
        <v>389</v>
      </c>
      <c r="O195" s="14"/>
      <c r="P195" s="14" t="s">
        <v>71</v>
      </c>
      <c r="Q195" s="14" t="s">
        <v>72</v>
      </c>
    </row>
    <row r="196" customFormat="false" ht="22.35" hidden="false" customHeight="false" outlineLevel="0" collapsed="false">
      <c r="A196" s="14" t="n">
        <v>195</v>
      </c>
      <c r="B196" s="14" t="s">
        <v>816</v>
      </c>
      <c r="C196" s="14" t="s">
        <v>104</v>
      </c>
      <c r="D196" s="14" t="s">
        <v>15</v>
      </c>
      <c r="E196" s="14" t="s">
        <v>815</v>
      </c>
      <c r="F196" s="14" t="s">
        <v>736</v>
      </c>
      <c r="G196" s="14" t="s">
        <v>77</v>
      </c>
      <c r="H196" s="14" t="s">
        <v>804</v>
      </c>
      <c r="I196" s="14" t="s">
        <v>805</v>
      </c>
      <c r="J196" s="14" t="s">
        <v>806</v>
      </c>
      <c r="K196" s="17" t="n">
        <v>2</v>
      </c>
      <c r="L196" s="14" t="s">
        <v>67</v>
      </c>
      <c r="M196" s="14" t="s">
        <v>68</v>
      </c>
      <c r="N196" s="14" t="s">
        <v>389</v>
      </c>
      <c r="O196" s="14"/>
      <c r="P196" s="14" t="s">
        <v>71</v>
      </c>
      <c r="Q196" s="14" t="s">
        <v>72</v>
      </c>
    </row>
    <row r="197" customFormat="false" ht="22.35" hidden="false" customHeight="false" outlineLevel="0" collapsed="false">
      <c r="A197" s="14" t="n">
        <v>196</v>
      </c>
      <c r="B197" s="14" t="s">
        <v>817</v>
      </c>
      <c r="C197" s="14"/>
      <c r="D197" s="14" t="s">
        <v>15</v>
      </c>
      <c r="E197" s="14" t="s">
        <v>815</v>
      </c>
      <c r="F197" s="14" t="s">
        <v>818</v>
      </c>
      <c r="G197" s="14" t="s">
        <v>63</v>
      </c>
      <c r="H197" s="14" t="s">
        <v>804</v>
      </c>
      <c r="I197" s="14" t="s">
        <v>805</v>
      </c>
      <c r="J197" s="14" t="s">
        <v>806</v>
      </c>
      <c r="K197" s="17" t="n">
        <v>2</v>
      </c>
      <c r="L197" s="14" t="s">
        <v>67</v>
      </c>
      <c r="M197" s="14" t="s">
        <v>68</v>
      </c>
      <c r="N197" s="14" t="s">
        <v>389</v>
      </c>
      <c r="O197" s="14"/>
      <c r="P197" s="14" t="s">
        <v>71</v>
      </c>
      <c r="Q197" s="14" t="s">
        <v>72</v>
      </c>
    </row>
    <row r="198" customFormat="false" ht="22.35" hidden="false" customHeight="false" outlineLevel="0" collapsed="false">
      <c r="A198" s="14" t="n">
        <v>197</v>
      </c>
      <c r="B198" s="14" t="s">
        <v>819</v>
      </c>
      <c r="C198" s="14" t="s">
        <v>820</v>
      </c>
      <c r="D198" s="14" t="s">
        <v>15</v>
      </c>
      <c r="E198" s="14" t="s">
        <v>808</v>
      </c>
      <c r="F198" s="14" t="s">
        <v>821</v>
      </c>
      <c r="G198" s="14" t="s">
        <v>63</v>
      </c>
      <c r="H198" s="14" t="s">
        <v>804</v>
      </c>
      <c r="I198" s="14" t="s">
        <v>805</v>
      </c>
      <c r="J198" s="14" t="s">
        <v>806</v>
      </c>
      <c r="K198" s="17" t="n">
        <v>2</v>
      </c>
      <c r="L198" s="14" t="s">
        <v>67</v>
      </c>
      <c r="M198" s="14" t="s">
        <v>68</v>
      </c>
      <c r="N198" s="14" t="s">
        <v>389</v>
      </c>
      <c r="O198" s="14" t="s">
        <v>822</v>
      </c>
      <c r="P198" s="14" t="s">
        <v>71</v>
      </c>
      <c r="Q198" s="14" t="s">
        <v>72</v>
      </c>
    </row>
    <row r="199" customFormat="false" ht="22.35" hidden="false" customHeight="false" outlineLevel="0" collapsed="false">
      <c r="A199" s="14" t="n">
        <v>198</v>
      </c>
      <c r="B199" s="14" t="s">
        <v>823</v>
      </c>
      <c r="C199" s="14"/>
      <c r="D199" s="14" t="s">
        <v>15</v>
      </c>
      <c r="E199" s="14" t="s">
        <v>815</v>
      </c>
      <c r="F199" s="14" t="s">
        <v>824</v>
      </c>
      <c r="G199" s="14" t="s">
        <v>63</v>
      </c>
      <c r="H199" s="14" t="s">
        <v>804</v>
      </c>
      <c r="I199" s="14" t="s">
        <v>805</v>
      </c>
      <c r="J199" s="14" t="s">
        <v>806</v>
      </c>
      <c r="K199" s="17" t="n">
        <v>2</v>
      </c>
      <c r="L199" s="14" t="s">
        <v>67</v>
      </c>
      <c r="M199" s="14" t="s">
        <v>68</v>
      </c>
      <c r="N199" s="14" t="s">
        <v>389</v>
      </c>
      <c r="O199" s="14"/>
      <c r="P199" s="14" t="s">
        <v>71</v>
      </c>
      <c r="Q199" s="14" t="s">
        <v>72</v>
      </c>
    </row>
    <row r="200" customFormat="false" ht="22.35" hidden="false" customHeight="false" outlineLevel="0" collapsed="false">
      <c r="A200" s="14" t="n">
        <v>199</v>
      </c>
      <c r="B200" s="14" t="s">
        <v>825</v>
      </c>
      <c r="C200" s="14" t="s">
        <v>465</v>
      </c>
      <c r="D200" s="14" t="s">
        <v>15</v>
      </c>
      <c r="E200" s="14" t="s">
        <v>808</v>
      </c>
      <c r="F200" s="14" t="s">
        <v>826</v>
      </c>
      <c r="G200" s="14" t="s">
        <v>63</v>
      </c>
      <c r="H200" s="14" t="s">
        <v>804</v>
      </c>
      <c r="I200" s="14" t="s">
        <v>805</v>
      </c>
      <c r="J200" s="14" t="s">
        <v>806</v>
      </c>
      <c r="K200" s="17" t="n">
        <v>2</v>
      </c>
      <c r="L200" s="14" t="s">
        <v>67</v>
      </c>
      <c r="M200" s="14" t="s">
        <v>68</v>
      </c>
      <c r="N200" s="14" t="s">
        <v>389</v>
      </c>
      <c r="O200" s="14" t="s">
        <v>466</v>
      </c>
      <c r="P200" s="14" t="s">
        <v>71</v>
      </c>
      <c r="Q200" s="14" t="s">
        <v>72</v>
      </c>
    </row>
    <row r="201" customFormat="false" ht="22.35" hidden="false" customHeight="false" outlineLevel="0" collapsed="false">
      <c r="A201" s="14" t="n">
        <v>200</v>
      </c>
      <c r="B201" s="14" t="s">
        <v>827</v>
      </c>
      <c r="C201" s="14" t="s">
        <v>145</v>
      </c>
      <c r="D201" s="14" t="s">
        <v>15</v>
      </c>
      <c r="E201" s="14" t="s">
        <v>828</v>
      </c>
      <c r="F201" s="14" t="s">
        <v>829</v>
      </c>
      <c r="G201" s="14" t="s">
        <v>63</v>
      </c>
      <c r="H201" s="14" t="s">
        <v>804</v>
      </c>
      <c r="I201" s="14" t="s">
        <v>805</v>
      </c>
      <c r="J201" s="14" t="s">
        <v>806</v>
      </c>
      <c r="K201" s="17" t="n">
        <v>2</v>
      </c>
      <c r="L201" s="14" t="s">
        <v>67</v>
      </c>
      <c r="M201" s="14" t="s">
        <v>68</v>
      </c>
      <c r="N201" s="14" t="s">
        <v>389</v>
      </c>
      <c r="O201" s="14"/>
      <c r="P201" s="14" t="s">
        <v>71</v>
      </c>
      <c r="Q201" s="14" t="s">
        <v>72</v>
      </c>
    </row>
    <row r="202" customFormat="false" ht="22.35" hidden="false" customHeight="false" outlineLevel="0" collapsed="false">
      <c r="A202" s="14" t="n">
        <v>201</v>
      </c>
      <c r="B202" s="14" t="s">
        <v>830</v>
      </c>
      <c r="C202" s="14" t="s">
        <v>831</v>
      </c>
      <c r="D202" s="14" t="s">
        <v>15</v>
      </c>
      <c r="E202" s="14" t="s">
        <v>808</v>
      </c>
      <c r="F202" s="14" t="s">
        <v>832</v>
      </c>
      <c r="G202" s="14" t="s">
        <v>63</v>
      </c>
      <c r="H202" s="14" t="s">
        <v>804</v>
      </c>
      <c r="I202" s="14" t="s">
        <v>805</v>
      </c>
      <c r="J202" s="14" t="s">
        <v>806</v>
      </c>
      <c r="K202" s="17" t="n">
        <v>2</v>
      </c>
      <c r="L202" s="14" t="s">
        <v>67</v>
      </c>
      <c r="M202" s="14" t="s">
        <v>68</v>
      </c>
      <c r="N202" s="14" t="s">
        <v>389</v>
      </c>
      <c r="O202" s="14" t="s">
        <v>833</v>
      </c>
      <c r="P202" s="14" t="s">
        <v>71</v>
      </c>
      <c r="Q202" s="14" t="s">
        <v>72</v>
      </c>
    </row>
    <row r="203" customFormat="false" ht="22.35" hidden="false" customHeight="false" outlineLevel="0" collapsed="false">
      <c r="A203" s="14" t="n">
        <v>202</v>
      </c>
      <c r="B203" s="14" t="s">
        <v>834</v>
      </c>
      <c r="C203" s="14" t="s">
        <v>465</v>
      </c>
      <c r="D203" s="14" t="s">
        <v>15</v>
      </c>
      <c r="E203" s="14" t="s">
        <v>808</v>
      </c>
      <c r="F203" s="14" t="s">
        <v>832</v>
      </c>
      <c r="G203" s="14" t="s">
        <v>63</v>
      </c>
      <c r="H203" s="14" t="s">
        <v>804</v>
      </c>
      <c r="I203" s="14" t="s">
        <v>805</v>
      </c>
      <c r="J203" s="14" t="s">
        <v>806</v>
      </c>
      <c r="K203" s="17" t="n">
        <v>2</v>
      </c>
      <c r="L203" s="14" t="s">
        <v>67</v>
      </c>
      <c r="M203" s="14" t="s">
        <v>68</v>
      </c>
      <c r="N203" s="14" t="s">
        <v>389</v>
      </c>
      <c r="O203" s="14" t="s">
        <v>466</v>
      </c>
      <c r="P203" s="14" t="s">
        <v>71</v>
      </c>
      <c r="Q203" s="14" t="s">
        <v>72</v>
      </c>
    </row>
    <row r="204" customFormat="false" ht="22.35" hidden="false" customHeight="false" outlineLevel="0" collapsed="false">
      <c r="A204" s="14" t="n">
        <v>203</v>
      </c>
      <c r="B204" s="14" t="s">
        <v>835</v>
      </c>
      <c r="C204" s="14" t="s">
        <v>836</v>
      </c>
      <c r="D204" s="14" t="s">
        <v>15</v>
      </c>
      <c r="E204" s="14" t="s">
        <v>815</v>
      </c>
      <c r="F204" s="14" t="s">
        <v>837</v>
      </c>
      <c r="G204" s="14" t="s">
        <v>63</v>
      </c>
      <c r="H204" s="14" t="s">
        <v>804</v>
      </c>
      <c r="I204" s="14" t="s">
        <v>805</v>
      </c>
      <c r="J204" s="14" t="s">
        <v>806</v>
      </c>
      <c r="K204" s="17" t="n">
        <v>2</v>
      </c>
      <c r="L204" s="14" t="s">
        <v>67</v>
      </c>
      <c r="M204" s="14" t="s">
        <v>68</v>
      </c>
      <c r="N204" s="14" t="s">
        <v>389</v>
      </c>
      <c r="O204" s="14"/>
      <c r="P204" s="14" t="s">
        <v>71</v>
      </c>
      <c r="Q204" s="14" t="s">
        <v>72</v>
      </c>
    </row>
    <row r="205" customFormat="false" ht="22.35" hidden="false" customHeight="false" outlineLevel="0" collapsed="false">
      <c r="A205" s="14" t="n">
        <v>204</v>
      </c>
      <c r="B205" s="14" t="s">
        <v>838</v>
      </c>
      <c r="C205" s="14" t="s">
        <v>465</v>
      </c>
      <c r="D205" s="14" t="s">
        <v>15</v>
      </c>
      <c r="E205" s="14" t="s">
        <v>808</v>
      </c>
      <c r="F205" s="14" t="s">
        <v>826</v>
      </c>
      <c r="G205" s="14" t="s">
        <v>63</v>
      </c>
      <c r="H205" s="14" t="s">
        <v>804</v>
      </c>
      <c r="I205" s="14" t="s">
        <v>805</v>
      </c>
      <c r="J205" s="14" t="s">
        <v>806</v>
      </c>
      <c r="K205" s="17" t="n">
        <v>2</v>
      </c>
      <c r="L205" s="14" t="s">
        <v>67</v>
      </c>
      <c r="M205" s="14" t="s">
        <v>68</v>
      </c>
      <c r="N205" s="14" t="s">
        <v>389</v>
      </c>
      <c r="O205" s="14" t="s">
        <v>466</v>
      </c>
      <c r="P205" s="14" t="s">
        <v>71</v>
      </c>
      <c r="Q205" s="14" t="s">
        <v>72</v>
      </c>
    </row>
    <row r="206" customFormat="false" ht="22.35" hidden="false" customHeight="false" outlineLevel="0" collapsed="false">
      <c r="A206" s="14" t="n">
        <v>205</v>
      </c>
      <c r="B206" s="14" t="s">
        <v>839</v>
      </c>
      <c r="C206" s="14" t="s">
        <v>840</v>
      </c>
      <c r="D206" s="14" t="s">
        <v>15</v>
      </c>
      <c r="E206" s="14" t="s">
        <v>841</v>
      </c>
      <c r="F206" s="14" t="s">
        <v>842</v>
      </c>
      <c r="G206" s="14" t="s">
        <v>63</v>
      </c>
      <c r="H206" s="14" t="s">
        <v>804</v>
      </c>
      <c r="I206" s="14" t="s">
        <v>805</v>
      </c>
      <c r="J206" s="14" t="s">
        <v>806</v>
      </c>
      <c r="K206" s="17" t="n">
        <v>2</v>
      </c>
      <c r="L206" s="14" t="s">
        <v>67</v>
      </c>
      <c r="M206" s="14" t="s">
        <v>68</v>
      </c>
      <c r="N206" s="14" t="s">
        <v>389</v>
      </c>
      <c r="O206" s="14" t="s">
        <v>843</v>
      </c>
      <c r="P206" s="14" t="s">
        <v>71</v>
      </c>
      <c r="Q206" s="14" t="s">
        <v>72</v>
      </c>
    </row>
    <row r="207" customFormat="false" ht="22.35" hidden="false" customHeight="false" outlineLevel="0" collapsed="false">
      <c r="A207" s="14" t="n">
        <v>206</v>
      </c>
      <c r="B207" s="14" t="s">
        <v>844</v>
      </c>
      <c r="C207" s="14" t="s">
        <v>565</v>
      </c>
      <c r="D207" s="14" t="s">
        <v>15</v>
      </c>
      <c r="E207" s="14" t="s">
        <v>828</v>
      </c>
      <c r="F207" s="14" t="s">
        <v>845</v>
      </c>
      <c r="G207" s="14" t="s">
        <v>63</v>
      </c>
      <c r="H207" s="14" t="s">
        <v>804</v>
      </c>
      <c r="I207" s="14" t="s">
        <v>805</v>
      </c>
      <c r="J207" s="14" t="s">
        <v>806</v>
      </c>
      <c r="K207" s="17" t="n">
        <v>2</v>
      </c>
      <c r="L207" s="14" t="s">
        <v>67</v>
      </c>
      <c r="M207" s="14" t="s">
        <v>68</v>
      </c>
      <c r="N207" s="14" t="s">
        <v>389</v>
      </c>
      <c r="O207" s="14"/>
      <c r="P207" s="14" t="s">
        <v>71</v>
      </c>
      <c r="Q207" s="14" t="s">
        <v>72</v>
      </c>
    </row>
    <row r="208" customFormat="false" ht="22.35" hidden="false" customHeight="false" outlineLevel="0" collapsed="false">
      <c r="A208" s="14" t="n">
        <v>207</v>
      </c>
      <c r="B208" s="14" t="s">
        <v>846</v>
      </c>
      <c r="C208" s="14"/>
      <c r="D208" s="14" t="s">
        <v>15</v>
      </c>
      <c r="E208" s="14" t="s">
        <v>815</v>
      </c>
      <c r="F208" s="14" t="s">
        <v>847</v>
      </c>
      <c r="G208" s="14" t="s">
        <v>63</v>
      </c>
      <c r="H208" s="14" t="s">
        <v>804</v>
      </c>
      <c r="I208" s="14" t="s">
        <v>805</v>
      </c>
      <c r="J208" s="14" t="s">
        <v>806</v>
      </c>
      <c r="K208" s="17" t="n">
        <v>2</v>
      </c>
      <c r="L208" s="14" t="s">
        <v>67</v>
      </c>
      <c r="M208" s="14" t="s">
        <v>68</v>
      </c>
      <c r="N208" s="14" t="s">
        <v>389</v>
      </c>
      <c r="O208" s="14"/>
      <c r="P208" s="14" t="s">
        <v>71</v>
      </c>
      <c r="Q208" s="14" t="s">
        <v>72</v>
      </c>
    </row>
    <row r="209" customFormat="false" ht="22.35" hidden="false" customHeight="false" outlineLevel="0" collapsed="false">
      <c r="A209" s="14" t="n">
        <v>208</v>
      </c>
      <c r="B209" s="14" t="s">
        <v>848</v>
      </c>
      <c r="C209" s="14" t="s">
        <v>849</v>
      </c>
      <c r="D209" s="14" t="s">
        <v>15</v>
      </c>
      <c r="E209" s="14" t="s">
        <v>815</v>
      </c>
      <c r="F209" s="14" t="s">
        <v>300</v>
      </c>
      <c r="G209" s="14" t="s">
        <v>63</v>
      </c>
      <c r="H209" s="14" t="s">
        <v>804</v>
      </c>
      <c r="I209" s="14" t="s">
        <v>805</v>
      </c>
      <c r="J209" s="14" t="s">
        <v>806</v>
      </c>
      <c r="K209" s="17" t="n">
        <v>2</v>
      </c>
      <c r="L209" s="14" t="s">
        <v>67</v>
      </c>
      <c r="M209" s="14" t="s">
        <v>68</v>
      </c>
      <c r="N209" s="14" t="s">
        <v>389</v>
      </c>
      <c r="O209" s="14"/>
      <c r="P209" s="14" t="s">
        <v>71</v>
      </c>
      <c r="Q209" s="14" t="s">
        <v>72</v>
      </c>
    </row>
    <row r="210" customFormat="false" ht="22.35" hidden="false" customHeight="false" outlineLevel="0" collapsed="false">
      <c r="A210" s="14" t="n">
        <v>209</v>
      </c>
      <c r="B210" s="14" t="s">
        <v>850</v>
      </c>
      <c r="C210" s="14" t="s">
        <v>851</v>
      </c>
      <c r="D210" s="14" t="s">
        <v>15</v>
      </c>
      <c r="E210" s="14" t="s">
        <v>815</v>
      </c>
      <c r="F210" s="14" t="s">
        <v>852</v>
      </c>
      <c r="G210" s="14" t="s">
        <v>63</v>
      </c>
      <c r="H210" s="14" t="s">
        <v>804</v>
      </c>
      <c r="I210" s="14" t="s">
        <v>805</v>
      </c>
      <c r="J210" s="14" t="s">
        <v>806</v>
      </c>
      <c r="K210" s="17" t="n">
        <v>2</v>
      </c>
      <c r="L210" s="14" t="s">
        <v>67</v>
      </c>
      <c r="M210" s="14" t="s">
        <v>68</v>
      </c>
      <c r="N210" s="14" t="s">
        <v>389</v>
      </c>
      <c r="O210" s="14" t="s">
        <v>853</v>
      </c>
      <c r="P210" s="14" t="s">
        <v>71</v>
      </c>
      <c r="Q210" s="14" t="s">
        <v>72</v>
      </c>
    </row>
    <row r="211" customFormat="false" ht="22.35" hidden="false" customHeight="false" outlineLevel="0" collapsed="false">
      <c r="A211" s="14" t="n">
        <v>210</v>
      </c>
      <c r="B211" s="14" t="s">
        <v>854</v>
      </c>
      <c r="C211" s="14" t="s">
        <v>304</v>
      </c>
      <c r="D211" s="14" t="s">
        <v>15</v>
      </c>
      <c r="E211" s="14" t="s">
        <v>855</v>
      </c>
      <c r="F211" s="14" t="s">
        <v>856</v>
      </c>
      <c r="G211" s="14" t="s">
        <v>77</v>
      </c>
      <c r="H211" s="14" t="s">
        <v>804</v>
      </c>
      <c r="I211" s="14" t="s">
        <v>805</v>
      </c>
      <c r="J211" s="14" t="s">
        <v>806</v>
      </c>
      <c r="K211" s="17" t="n">
        <v>2</v>
      </c>
      <c r="L211" s="14" t="s">
        <v>67</v>
      </c>
      <c r="M211" s="14" t="s">
        <v>68</v>
      </c>
      <c r="N211" s="14" t="s">
        <v>389</v>
      </c>
      <c r="O211" s="14" t="s">
        <v>857</v>
      </c>
      <c r="P211" s="14" t="s">
        <v>71</v>
      </c>
      <c r="Q211" s="14" t="s">
        <v>72</v>
      </c>
    </row>
    <row r="212" customFormat="false" ht="22.35" hidden="false" customHeight="false" outlineLevel="0" collapsed="false">
      <c r="A212" s="14" t="n">
        <v>211</v>
      </c>
      <c r="B212" s="14" t="s">
        <v>858</v>
      </c>
      <c r="C212" s="14" t="s">
        <v>859</v>
      </c>
      <c r="D212" s="14" t="s">
        <v>15</v>
      </c>
      <c r="E212" s="14" t="s">
        <v>815</v>
      </c>
      <c r="F212" s="14" t="s">
        <v>860</v>
      </c>
      <c r="G212" s="14" t="s">
        <v>307</v>
      </c>
      <c r="H212" s="14" t="s">
        <v>804</v>
      </c>
      <c r="I212" s="14" t="s">
        <v>805</v>
      </c>
      <c r="J212" s="14" t="s">
        <v>806</v>
      </c>
      <c r="K212" s="17" t="n">
        <v>2</v>
      </c>
      <c r="L212" s="14" t="s">
        <v>67</v>
      </c>
      <c r="M212" s="14" t="s">
        <v>68</v>
      </c>
      <c r="N212" s="14" t="s">
        <v>389</v>
      </c>
      <c r="O212" s="14"/>
      <c r="P212" s="14" t="s">
        <v>71</v>
      </c>
      <c r="Q212" s="14" t="s">
        <v>72</v>
      </c>
    </row>
    <row r="213" customFormat="false" ht="22.35" hidden="false" customHeight="false" outlineLevel="0" collapsed="false">
      <c r="A213" s="14" t="n">
        <v>212</v>
      </c>
      <c r="B213" s="14" t="s">
        <v>861</v>
      </c>
      <c r="C213" s="14" t="s">
        <v>324</v>
      </c>
      <c r="D213" s="14" t="s">
        <v>25</v>
      </c>
      <c r="E213" s="14" t="s">
        <v>320</v>
      </c>
      <c r="F213" s="14" t="s">
        <v>160</v>
      </c>
      <c r="G213" s="14" t="s">
        <v>63</v>
      </c>
      <c r="H213" s="14" t="s">
        <v>862</v>
      </c>
      <c r="I213" s="14" t="s">
        <v>314</v>
      </c>
      <c r="J213" s="14" t="s">
        <v>315</v>
      </c>
      <c r="K213" s="17" t="n">
        <v>2</v>
      </c>
      <c r="L213" s="14" t="s">
        <v>67</v>
      </c>
      <c r="M213" s="14" t="s">
        <v>68</v>
      </c>
      <c r="N213" s="14" t="s">
        <v>389</v>
      </c>
      <c r="O213" s="14"/>
      <c r="P213" s="14" t="s">
        <v>71</v>
      </c>
      <c r="Q213" s="14" t="s">
        <v>72</v>
      </c>
    </row>
    <row r="214" customFormat="false" ht="22.35" hidden="false" customHeight="false" outlineLevel="0" collapsed="false">
      <c r="A214" s="14" t="n">
        <v>213</v>
      </c>
      <c r="B214" s="14" t="s">
        <v>863</v>
      </c>
      <c r="C214" s="14" t="s">
        <v>491</v>
      </c>
      <c r="D214" s="14" t="s">
        <v>25</v>
      </c>
      <c r="E214" s="14" t="s">
        <v>864</v>
      </c>
      <c r="F214" s="14" t="s">
        <v>492</v>
      </c>
      <c r="G214" s="14" t="s">
        <v>493</v>
      </c>
      <c r="H214" s="14" t="s">
        <v>862</v>
      </c>
      <c r="I214" s="14" t="s">
        <v>314</v>
      </c>
      <c r="J214" s="14" t="s">
        <v>315</v>
      </c>
      <c r="K214" s="17" t="n">
        <v>2</v>
      </c>
      <c r="L214" s="14" t="s">
        <v>67</v>
      </c>
      <c r="M214" s="14" t="s">
        <v>68</v>
      </c>
      <c r="N214" s="14" t="s">
        <v>389</v>
      </c>
      <c r="O214" s="14"/>
      <c r="P214" s="14" t="s">
        <v>71</v>
      </c>
      <c r="Q214" s="14" t="s">
        <v>72</v>
      </c>
    </row>
    <row r="215" customFormat="false" ht="22.35" hidden="false" customHeight="false" outlineLevel="0" collapsed="false">
      <c r="A215" s="14" t="n">
        <v>214</v>
      </c>
      <c r="B215" s="14" t="s">
        <v>865</v>
      </c>
      <c r="C215" s="14"/>
      <c r="D215" s="14" t="s">
        <v>25</v>
      </c>
      <c r="E215" s="14" t="s">
        <v>866</v>
      </c>
      <c r="F215" s="14" t="s">
        <v>62</v>
      </c>
      <c r="G215" s="14" t="s">
        <v>63</v>
      </c>
      <c r="H215" s="14" t="s">
        <v>862</v>
      </c>
      <c r="I215" s="14" t="s">
        <v>314</v>
      </c>
      <c r="J215" s="14" t="s">
        <v>315</v>
      </c>
      <c r="K215" s="17" t="n">
        <v>2</v>
      </c>
      <c r="L215" s="14" t="s">
        <v>67</v>
      </c>
      <c r="M215" s="14" t="s">
        <v>68</v>
      </c>
      <c r="N215" s="14" t="s">
        <v>389</v>
      </c>
      <c r="O215" s="14"/>
      <c r="P215" s="14" t="s">
        <v>71</v>
      </c>
      <c r="Q215" s="14" t="s">
        <v>72</v>
      </c>
    </row>
    <row r="216" customFormat="false" ht="22.35" hidden="false" customHeight="false" outlineLevel="0" collapsed="false">
      <c r="A216" s="14" t="n">
        <v>215</v>
      </c>
      <c r="B216" s="14" t="s">
        <v>867</v>
      </c>
      <c r="C216" s="14"/>
      <c r="D216" s="14" t="s">
        <v>25</v>
      </c>
      <c r="E216" s="14" t="s">
        <v>868</v>
      </c>
      <c r="F216" s="14" t="s">
        <v>215</v>
      </c>
      <c r="G216" s="14" t="s">
        <v>77</v>
      </c>
      <c r="H216" s="14" t="s">
        <v>862</v>
      </c>
      <c r="I216" s="14" t="s">
        <v>314</v>
      </c>
      <c r="J216" s="14" t="s">
        <v>315</v>
      </c>
      <c r="K216" s="17" t="n">
        <v>2</v>
      </c>
      <c r="L216" s="14" t="s">
        <v>67</v>
      </c>
      <c r="M216" s="14" t="s">
        <v>68</v>
      </c>
      <c r="N216" s="14" t="s">
        <v>389</v>
      </c>
      <c r="O216" s="14"/>
      <c r="P216" s="14" t="s">
        <v>71</v>
      </c>
      <c r="Q216" s="14" t="s">
        <v>72</v>
      </c>
    </row>
    <row r="217" customFormat="false" ht="22.35" hidden="false" customHeight="false" outlineLevel="0" collapsed="false">
      <c r="A217" s="14" t="n">
        <v>216</v>
      </c>
      <c r="B217" s="14" t="s">
        <v>869</v>
      </c>
      <c r="C217" s="14" t="s">
        <v>870</v>
      </c>
      <c r="D217" s="14" t="s">
        <v>25</v>
      </c>
      <c r="E217" s="14" t="s">
        <v>871</v>
      </c>
      <c r="F217" s="14" t="s">
        <v>62</v>
      </c>
      <c r="G217" s="14" t="s">
        <v>63</v>
      </c>
      <c r="H217" s="14" t="s">
        <v>862</v>
      </c>
      <c r="I217" s="14" t="s">
        <v>314</v>
      </c>
      <c r="J217" s="14" t="s">
        <v>315</v>
      </c>
      <c r="K217" s="17" t="n">
        <v>2</v>
      </c>
      <c r="L217" s="14" t="s">
        <v>67</v>
      </c>
      <c r="M217" s="14" t="s">
        <v>68</v>
      </c>
      <c r="N217" s="14" t="s">
        <v>389</v>
      </c>
      <c r="O217" s="14"/>
      <c r="P217" s="14" t="s">
        <v>71</v>
      </c>
      <c r="Q217" s="14" t="s">
        <v>72</v>
      </c>
    </row>
    <row r="218" customFormat="false" ht="22.35" hidden="false" customHeight="false" outlineLevel="0" collapsed="false">
      <c r="A218" s="14" t="n">
        <v>217</v>
      </c>
      <c r="B218" s="14" t="s">
        <v>872</v>
      </c>
      <c r="C218" s="14"/>
      <c r="D218" s="14" t="s">
        <v>22</v>
      </c>
      <c r="E218" s="14" t="s">
        <v>873</v>
      </c>
      <c r="F218" s="14" t="s">
        <v>62</v>
      </c>
      <c r="G218" s="14" t="s">
        <v>63</v>
      </c>
      <c r="H218" s="14" t="s">
        <v>874</v>
      </c>
      <c r="I218" s="14" t="s">
        <v>359</v>
      </c>
      <c r="J218" s="14" t="s">
        <v>360</v>
      </c>
      <c r="K218" s="17" t="n">
        <v>2</v>
      </c>
      <c r="L218" s="14" t="s">
        <v>67</v>
      </c>
      <c r="M218" s="14" t="s">
        <v>875</v>
      </c>
      <c r="N218" s="14" t="s">
        <v>389</v>
      </c>
      <c r="O218" s="14"/>
      <c r="P218" s="14" t="s">
        <v>90</v>
      </c>
      <c r="Q218" s="16" t="s">
        <v>876</v>
      </c>
    </row>
    <row r="219" customFormat="false" ht="22.35" hidden="false" customHeight="false" outlineLevel="0" collapsed="false">
      <c r="A219" s="14" t="n">
        <v>218</v>
      </c>
      <c r="B219" s="14" t="s">
        <v>877</v>
      </c>
      <c r="C219" s="14"/>
      <c r="D219" s="14" t="s">
        <v>22</v>
      </c>
      <c r="E219" s="14" t="s">
        <v>878</v>
      </c>
      <c r="F219" s="14" t="s">
        <v>306</v>
      </c>
      <c r="G219" s="14" t="s">
        <v>307</v>
      </c>
      <c r="H219" s="14" t="s">
        <v>874</v>
      </c>
      <c r="I219" s="14" t="s">
        <v>359</v>
      </c>
      <c r="J219" s="14" t="s">
        <v>360</v>
      </c>
      <c r="K219" s="17" t="n">
        <v>2</v>
      </c>
      <c r="L219" s="14" t="s">
        <v>67</v>
      </c>
      <c r="M219" s="14" t="s">
        <v>875</v>
      </c>
      <c r="N219" s="14" t="s">
        <v>389</v>
      </c>
      <c r="O219" s="14"/>
      <c r="P219" s="14" t="s">
        <v>90</v>
      </c>
      <c r="Q219" s="16" t="s">
        <v>876</v>
      </c>
    </row>
    <row r="220" customFormat="false" ht="22.35" hidden="false" customHeight="false" outlineLevel="0" collapsed="false">
      <c r="A220" s="14" t="n">
        <v>219</v>
      </c>
      <c r="B220" s="14" t="s">
        <v>879</v>
      </c>
      <c r="C220" s="14" t="s">
        <v>407</v>
      </c>
      <c r="D220" s="14" t="s">
        <v>22</v>
      </c>
      <c r="E220" s="14" t="s">
        <v>880</v>
      </c>
      <c r="F220" s="14" t="s">
        <v>881</v>
      </c>
      <c r="G220" s="14" t="s">
        <v>77</v>
      </c>
      <c r="H220" s="14" t="s">
        <v>874</v>
      </c>
      <c r="I220" s="14" t="s">
        <v>359</v>
      </c>
      <c r="J220" s="14" t="s">
        <v>360</v>
      </c>
      <c r="K220" s="17" t="n">
        <v>2</v>
      </c>
      <c r="L220" s="14" t="s">
        <v>67</v>
      </c>
      <c r="M220" s="14" t="s">
        <v>68</v>
      </c>
      <c r="N220" s="14" t="s">
        <v>389</v>
      </c>
      <c r="O220" s="14" t="s">
        <v>412</v>
      </c>
      <c r="P220" s="14" t="s">
        <v>71</v>
      </c>
      <c r="Q220" s="14" t="s">
        <v>72</v>
      </c>
    </row>
    <row r="221" customFormat="false" ht="22.35" hidden="false" customHeight="false" outlineLevel="0" collapsed="false">
      <c r="A221" s="14" t="n">
        <v>220</v>
      </c>
      <c r="B221" s="14" t="s">
        <v>882</v>
      </c>
      <c r="C221" s="14"/>
      <c r="D221" s="14" t="s">
        <v>22</v>
      </c>
      <c r="E221" s="14" t="s">
        <v>883</v>
      </c>
      <c r="F221" s="14" t="s">
        <v>62</v>
      </c>
      <c r="G221" s="14" t="s">
        <v>63</v>
      </c>
      <c r="H221" s="14" t="s">
        <v>874</v>
      </c>
      <c r="I221" s="14" t="s">
        <v>359</v>
      </c>
      <c r="J221" s="14" t="s">
        <v>360</v>
      </c>
      <c r="K221" s="17" t="n">
        <v>2</v>
      </c>
      <c r="L221" s="14" t="s">
        <v>67</v>
      </c>
      <c r="M221" s="14" t="s">
        <v>68</v>
      </c>
      <c r="N221" s="14" t="s">
        <v>389</v>
      </c>
      <c r="O221" s="14"/>
      <c r="P221" s="14" t="s">
        <v>71</v>
      </c>
      <c r="Q221" s="14" t="s">
        <v>72</v>
      </c>
    </row>
    <row r="222" customFormat="false" ht="22.35" hidden="false" customHeight="false" outlineLevel="0" collapsed="false">
      <c r="A222" s="14" t="n">
        <v>221</v>
      </c>
      <c r="B222" s="14" t="s">
        <v>884</v>
      </c>
      <c r="C222" s="14"/>
      <c r="D222" s="14" t="s">
        <v>22</v>
      </c>
      <c r="E222" s="14" t="s">
        <v>883</v>
      </c>
      <c r="F222" s="14" t="s">
        <v>62</v>
      </c>
      <c r="G222" s="14" t="s">
        <v>63</v>
      </c>
      <c r="H222" s="14" t="s">
        <v>874</v>
      </c>
      <c r="I222" s="14" t="s">
        <v>359</v>
      </c>
      <c r="J222" s="14" t="s">
        <v>360</v>
      </c>
      <c r="K222" s="17" t="n">
        <v>2</v>
      </c>
      <c r="L222" s="14" t="s">
        <v>67</v>
      </c>
      <c r="M222" s="14" t="s">
        <v>68</v>
      </c>
      <c r="N222" s="14" t="s">
        <v>389</v>
      </c>
      <c r="O222" s="14"/>
      <c r="P222" s="14" t="s">
        <v>71</v>
      </c>
      <c r="Q222" s="14" t="s">
        <v>72</v>
      </c>
    </row>
    <row r="223" customFormat="false" ht="22.35" hidden="false" customHeight="false" outlineLevel="0" collapsed="false">
      <c r="A223" s="14" t="n">
        <v>222</v>
      </c>
      <c r="B223" s="14" t="s">
        <v>885</v>
      </c>
      <c r="C223" s="14" t="s">
        <v>886</v>
      </c>
      <c r="D223" s="14" t="s">
        <v>22</v>
      </c>
      <c r="E223" s="14" t="s">
        <v>887</v>
      </c>
      <c r="F223" s="14" t="s">
        <v>888</v>
      </c>
      <c r="G223" s="14" t="s">
        <v>63</v>
      </c>
      <c r="H223" s="14" t="s">
        <v>874</v>
      </c>
      <c r="I223" s="14" t="s">
        <v>359</v>
      </c>
      <c r="J223" s="14" t="s">
        <v>360</v>
      </c>
      <c r="K223" s="17" t="n">
        <v>2</v>
      </c>
      <c r="L223" s="14" t="s">
        <v>67</v>
      </c>
      <c r="M223" s="14" t="s">
        <v>875</v>
      </c>
      <c r="N223" s="14" t="s">
        <v>389</v>
      </c>
      <c r="O223" s="14" t="s">
        <v>889</v>
      </c>
      <c r="P223" s="14" t="s">
        <v>90</v>
      </c>
      <c r="Q223" s="16" t="s">
        <v>876</v>
      </c>
    </row>
    <row r="224" customFormat="false" ht="22.35" hidden="false" customHeight="false" outlineLevel="0" collapsed="false">
      <c r="A224" s="14" t="n">
        <v>223</v>
      </c>
      <c r="B224" s="14" t="s">
        <v>890</v>
      </c>
      <c r="C224" s="14"/>
      <c r="D224" s="14" t="s">
        <v>22</v>
      </c>
      <c r="E224" s="14" t="s">
        <v>873</v>
      </c>
      <c r="F224" s="14" t="s">
        <v>215</v>
      </c>
      <c r="G224" s="14" t="s">
        <v>77</v>
      </c>
      <c r="H224" s="14" t="s">
        <v>874</v>
      </c>
      <c r="I224" s="14" t="s">
        <v>359</v>
      </c>
      <c r="J224" s="14" t="s">
        <v>360</v>
      </c>
      <c r="K224" s="17" t="n">
        <v>2</v>
      </c>
      <c r="L224" s="14" t="s">
        <v>67</v>
      </c>
      <c r="M224" s="14" t="s">
        <v>875</v>
      </c>
      <c r="N224" s="14" t="s">
        <v>389</v>
      </c>
      <c r="O224" s="14"/>
      <c r="P224" s="14" t="s">
        <v>90</v>
      </c>
      <c r="Q224" s="16" t="s">
        <v>876</v>
      </c>
    </row>
    <row r="225" customFormat="false" ht="22.35" hidden="false" customHeight="false" outlineLevel="0" collapsed="false">
      <c r="A225" s="14" t="n">
        <v>224</v>
      </c>
      <c r="B225" s="14" t="s">
        <v>891</v>
      </c>
      <c r="C225" s="14" t="s">
        <v>892</v>
      </c>
      <c r="D225" s="14" t="s">
        <v>22</v>
      </c>
      <c r="E225" s="14" t="s">
        <v>883</v>
      </c>
      <c r="F225" s="14" t="s">
        <v>62</v>
      </c>
      <c r="G225" s="14" t="s">
        <v>63</v>
      </c>
      <c r="H225" s="14" t="s">
        <v>874</v>
      </c>
      <c r="I225" s="14" t="s">
        <v>359</v>
      </c>
      <c r="J225" s="14" t="s">
        <v>360</v>
      </c>
      <c r="K225" s="17" t="n">
        <v>2</v>
      </c>
      <c r="L225" s="14" t="s">
        <v>67</v>
      </c>
      <c r="M225" s="14" t="s">
        <v>68</v>
      </c>
      <c r="N225" s="14" t="s">
        <v>389</v>
      </c>
      <c r="O225" s="14" t="s">
        <v>893</v>
      </c>
      <c r="P225" s="14" t="s">
        <v>71</v>
      </c>
      <c r="Q225" s="14" t="s">
        <v>72</v>
      </c>
    </row>
    <row r="226" customFormat="false" ht="22.35" hidden="false" customHeight="false" outlineLevel="0" collapsed="false">
      <c r="A226" s="14" t="n">
        <v>225</v>
      </c>
      <c r="B226" s="14" t="s">
        <v>894</v>
      </c>
      <c r="C226" s="14"/>
      <c r="D226" s="14" t="s">
        <v>14</v>
      </c>
      <c r="E226" s="14" t="s">
        <v>895</v>
      </c>
      <c r="F226" s="14" t="s">
        <v>553</v>
      </c>
      <c r="G226" s="14" t="s">
        <v>77</v>
      </c>
      <c r="H226" s="14" t="s">
        <v>896</v>
      </c>
      <c r="I226" s="14" t="s">
        <v>897</v>
      </c>
      <c r="J226" s="14" t="s">
        <v>898</v>
      </c>
      <c r="K226" s="17" t="n">
        <v>2</v>
      </c>
      <c r="L226" s="14" t="s">
        <v>67</v>
      </c>
      <c r="M226" s="14" t="s">
        <v>615</v>
      </c>
      <c r="N226" s="14" t="s">
        <v>389</v>
      </c>
      <c r="O226" s="14" t="s">
        <v>899</v>
      </c>
      <c r="P226" s="14" t="s">
        <v>90</v>
      </c>
      <c r="Q226" s="16" t="s">
        <v>616</v>
      </c>
    </row>
    <row r="227" customFormat="false" ht="22.35" hidden="false" customHeight="false" outlineLevel="0" collapsed="false">
      <c r="A227" s="14" t="n">
        <v>226</v>
      </c>
      <c r="B227" s="14" t="s">
        <v>900</v>
      </c>
      <c r="C227" s="14"/>
      <c r="D227" s="14" t="s">
        <v>14</v>
      </c>
      <c r="E227" s="14" t="s">
        <v>895</v>
      </c>
      <c r="F227" s="14" t="s">
        <v>553</v>
      </c>
      <c r="G227" s="14"/>
      <c r="H227" s="14" t="s">
        <v>896</v>
      </c>
      <c r="I227" s="14" t="s">
        <v>897</v>
      </c>
      <c r="J227" s="14" t="s">
        <v>898</v>
      </c>
      <c r="K227" s="17" t="n">
        <v>2</v>
      </c>
      <c r="L227" s="14" t="s">
        <v>67</v>
      </c>
      <c r="M227" s="14" t="s">
        <v>615</v>
      </c>
      <c r="N227" s="14" t="s">
        <v>389</v>
      </c>
      <c r="O227" s="14" t="s">
        <v>899</v>
      </c>
      <c r="P227" s="14" t="s">
        <v>90</v>
      </c>
      <c r="Q227" s="16" t="s">
        <v>616</v>
      </c>
    </row>
    <row r="228" customFormat="false" ht="22.35" hidden="false" customHeight="false" outlineLevel="0" collapsed="false">
      <c r="A228" s="14" t="n">
        <v>227</v>
      </c>
      <c r="B228" s="14" t="s">
        <v>901</v>
      </c>
      <c r="C228" s="14" t="s">
        <v>902</v>
      </c>
      <c r="D228" s="14" t="s">
        <v>14</v>
      </c>
      <c r="E228" s="14" t="s">
        <v>895</v>
      </c>
      <c r="F228" s="14" t="s">
        <v>903</v>
      </c>
      <c r="G228" s="14" t="s">
        <v>493</v>
      </c>
      <c r="H228" s="14" t="s">
        <v>896</v>
      </c>
      <c r="I228" s="14" t="s">
        <v>897</v>
      </c>
      <c r="J228" s="14" t="s">
        <v>898</v>
      </c>
      <c r="K228" s="17" t="n">
        <v>2</v>
      </c>
      <c r="L228" s="14" t="s">
        <v>67</v>
      </c>
      <c r="M228" s="14" t="s">
        <v>68</v>
      </c>
      <c r="N228" s="14" t="s">
        <v>389</v>
      </c>
      <c r="O228" s="14"/>
      <c r="P228" s="14" t="s">
        <v>71</v>
      </c>
      <c r="Q228" s="14" t="s">
        <v>72</v>
      </c>
    </row>
    <row r="229" customFormat="false" ht="22.35" hidden="false" customHeight="false" outlineLevel="0" collapsed="false">
      <c r="A229" s="14" t="n">
        <v>228</v>
      </c>
      <c r="B229" s="14" t="s">
        <v>904</v>
      </c>
      <c r="C229" s="14" t="s">
        <v>905</v>
      </c>
      <c r="D229" s="14" t="s">
        <v>14</v>
      </c>
      <c r="E229" s="14" t="s">
        <v>906</v>
      </c>
      <c r="F229" s="14" t="s">
        <v>907</v>
      </c>
      <c r="G229" s="14" t="s">
        <v>77</v>
      </c>
      <c r="H229" s="14" t="s">
        <v>896</v>
      </c>
      <c r="I229" s="14" t="s">
        <v>897</v>
      </c>
      <c r="J229" s="14" t="s">
        <v>898</v>
      </c>
      <c r="K229" s="17" t="n">
        <v>2</v>
      </c>
      <c r="L229" s="14" t="s">
        <v>67</v>
      </c>
      <c r="M229" s="14" t="s">
        <v>68</v>
      </c>
      <c r="N229" s="14" t="s">
        <v>389</v>
      </c>
      <c r="O229" s="14"/>
      <c r="P229" s="14" t="s">
        <v>71</v>
      </c>
      <c r="Q229" s="14" t="s">
        <v>72</v>
      </c>
    </row>
    <row r="230" customFormat="false" ht="22.35" hidden="false" customHeight="false" outlineLevel="0" collapsed="false">
      <c r="A230" s="14" t="n">
        <v>229</v>
      </c>
      <c r="B230" s="14" t="s">
        <v>908</v>
      </c>
      <c r="C230" s="14"/>
      <c r="D230" s="14" t="s">
        <v>14</v>
      </c>
      <c r="E230" s="14" t="s">
        <v>895</v>
      </c>
      <c r="F230" s="14" t="s">
        <v>553</v>
      </c>
      <c r="G230" s="14"/>
      <c r="H230" s="14" t="s">
        <v>896</v>
      </c>
      <c r="I230" s="14" t="s">
        <v>897</v>
      </c>
      <c r="J230" s="14" t="s">
        <v>898</v>
      </c>
      <c r="K230" s="17" t="n">
        <v>2</v>
      </c>
      <c r="L230" s="14" t="s">
        <v>67</v>
      </c>
      <c r="M230" s="14" t="s">
        <v>615</v>
      </c>
      <c r="N230" s="14" t="s">
        <v>389</v>
      </c>
      <c r="O230" s="14" t="s">
        <v>899</v>
      </c>
      <c r="P230" s="14" t="s">
        <v>90</v>
      </c>
      <c r="Q230" s="16" t="s">
        <v>616</v>
      </c>
    </row>
    <row r="231" customFormat="false" ht="22.35" hidden="false" customHeight="false" outlineLevel="0" collapsed="false">
      <c r="A231" s="14" t="n">
        <v>230</v>
      </c>
      <c r="B231" s="14" t="s">
        <v>909</v>
      </c>
      <c r="C231" s="14"/>
      <c r="D231" s="14" t="s">
        <v>14</v>
      </c>
      <c r="E231" s="14" t="s">
        <v>895</v>
      </c>
      <c r="F231" s="14" t="s">
        <v>910</v>
      </c>
      <c r="G231" s="14" t="s">
        <v>63</v>
      </c>
      <c r="H231" s="14" t="s">
        <v>896</v>
      </c>
      <c r="I231" s="14" t="s">
        <v>897</v>
      </c>
      <c r="J231" s="14" t="s">
        <v>898</v>
      </c>
      <c r="K231" s="17" t="n">
        <v>2</v>
      </c>
      <c r="L231" s="14" t="s">
        <v>67</v>
      </c>
      <c r="M231" s="14" t="s">
        <v>615</v>
      </c>
      <c r="N231" s="14" t="s">
        <v>389</v>
      </c>
      <c r="O231" s="14" t="s">
        <v>911</v>
      </c>
      <c r="P231" s="14" t="s">
        <v>90</v>
      </c>
      <c r="Q231" s="16" t="s">
        <v>616</v>
      </c>
    </row>
    <row r="232" customFormat="false" ht="22.35" hidden="false" customHeight="false" outlineLevel="0" collapsed="false">
      <c r="A232" s="14" t="n">
        <v>231</v>
      </c>
      <c r="B232" s="14" t="s">
        <v>912</v>
      </c>
      <c r="C232" s="14" t="s">
        <v>913</v>
      </c>
      <c r="D232" s="14" t="s">
        <v>14</v>
      </c>
      <c r="E232" s="14" t="s">
        <v>895</v>
      </c>
      <c r="F232" s="14" t="s">
        <v>903</v>
      </c>
      <c r="G232" s="14" t="s">
        <v>493</v>
      </c>
      <c r="H232" s="14" t="s">
        <v>896</v>
      </c>
      <c r="I232" s="14" t="s">
        <v>897</v>
      </c>
      <c r="J232" s="14" t="s">
        <v>898</v>
      </c>
      <c r="K232" s="17" t="n">
        <v>2</v>
      </c>
      <c r="L232" s="14" t="s">
        <v>67</v>
      </c>
      <c r="M232" s="14" t="s">
        <v>68</v>
      </c>
      <c r="N232" s="14" t="s">
        <v>389</v>
      </c>
      <c r="O232" s="14"/>
      <c r="P232" s="14" t="s">
        <v>71</v>
      </c>
      <c r="Q232" s="14" t="s">
        <v>72</v>
      </c>
    </row>
    <row r="233" customFormat="false" ht="22.35" hidden="false" customHeight="false" outlineLevel="0" collapsed="false">
      <c r="A233" s="14" t="n">
        <v>232</v>
      </c>
      <c r="B233" s="14" t="s">
        <v>914</v>
      </c>
      <c r="C233" s="14"/>
      <c r="D233" s="14" t="s">
        <v>14</v>
      </c>
      <c r="E233" s="14" t="s">
        <v>895</v>
      </c>
      <c r="F233" s="14" t="s">
        <v>915</v>
      </c>
      <c r="G233" s="14" t="s">
        <v>77</v>
      </c>
      <c r="H233" s="14" t="s">
        <v>896</v>
      </c>
      <c r="I233" s="14" t="s">
        <v>897</v>
      </c>
      <c r="J233" s="14" t="s">
        <v>898</v>
      </c>
      <c r="K233" s="17" t="n">
        <v>2</v>
      </c>
      <c r="L233" s="14" t="s">
        <v>67</v>
      </c>
      <c r="M233" s="14" t="s">
        <v>68</v>
      </c>
      <c r="N233" s="14" t="s">
        <v>389</v>
      </c>
      <c r="O233" s="14"/>
      <c r="P233" s="14" t="s">
        <v>71</v>
      </c>
      <c r="Q233" s="14" t="s">
        <v>72</v>
      </c>
    </row>
    <row r="234" customFormat="false" ht="22.35" hidden="false" customHeight="false" outlineLevel="0" collapsed="false">
      <c r="A234" s="14" t="n">
        <v>233</v>
      </c>
      <c r="B234" s="14" t="s">
        <v>916</v>
      </c>
      <c r="C234" s="14" t="s">
        <v>577</v>
      </c>
      <c r="D234" s="14" t="s">
        <v>14</v>
      </c>
      <c r="E234" s="14" t="s">
        <v>895</v>
      </c>
      <c r="F234" s="14" t="s">
        <v>824</v>
      </c>
      <c r="G234" s="14" t="s">
        <v>63</v>
      </c>
      <c r="H234" s="14" t="s">
        <v>896</v>
      </c>
      <c r="I234" s="14" t="s">
        <v>897</v>
      </c>
      <c r="J234" s="14" t="s">
        <v>898</v>
      </c>
      <c r="K234" s="17" t="n">
        <v>2</v>
      </c>
      <c r="L234" s="14" t="s">
        <v>67</v>
      </c>
      <c r="M234" s="14" t="s">
        <v>68</v>
      </c>
      <c r="N234" s="14" t="s">
        <v>389</v>
      </c>
      <c r="O234" s="14" t="s">
        <v>580</v>
      </c>
      <c r="P234" s="14" t="s">
        <v>71</v>
      </c>
      <c r="Q234" s="14" t="s">
        <v>72</v>
      </c>
    </row>
    <row r="235" customFormat="false" ht="22.35" hidden="false" customHeight="false" outlineLevel="0" collapsed="false">
      <c r="A235" s="14" t="n">
        <v>234</v>
      </c>
      <c r="B235" s="14" t="s">
        <v>917</v>
      </c>
      <c r="C235" s="14"/>
      <c r="D235" s="14" t="s">
        <v>14</v>
      </c>
      <c r="E235" s="14" t="s">
        <v>895</v>
      </c>
      <c r="F235" s="14" t="s">
        <v>553</v>
      </c>
      <c r="G235" s="14" t="s">
        <v>63</v>
      </c>
      <c r="H235" s="14" t="s">
        <v>896</v>
      </c>
      <c r="I235" s="14" t="s">
        <v>897</v>
      </c>
      <c r="J235" s="14" t="s">
        <v>898</v>
      </c>
      <c r="K235" s="17" t="n">
        <v>2</v>
      </c>
      <c r="L235" s="14" t="s">
        <v>67</v>
      </c>
      <c r="M235" s="14" t="s">
        <v>615</v>
      </c>
      <c r="N235" s="14" t="s">
        <v>389</v>
      </c>
      <c r="O235" s="14" t="s">
        <v>899</v>
      </c>
      <c r="P235" s="14" t="s">
        <v>90</v>
      </c>
      <c r="Q235" s="16" t="s">
        <v>616</v>
      </c>
    </row>
    <row r="236" customFormat="false" ht="22.35" hidden="false" customHeight="false" outlineLevel="0" collapsed="false">
      <c r="A236" s="14" t="n">
        <v>235</v>
      </c>
      <c r="B236" s="14" t="s">
        <v>918</v>
      </c>
      <c r="C236" s="14"/>
      <c r="D236" s="14" t="s">
        <v>14</v>
      </c>
      <c r="E236" s="14" t="s">
        <v>895</v>
      </c>
      <c r="F236" s="14" t="s">
        <v>919</v>
      </c>
      <c r="G236" s="14" t="s">
        <v>63</v>
      </c>
      <c r="H236" s="14" t="s">
        <v>896</v>
      </c>
      <c r="I236" s="14" t="s">
        <v>897</v>
      </c>
      <c r="J236" s="14" t="s">
        <v>898</v>
      </c>
      <c r="K236" s="17" t="n">
        <v>2</v>
      </c>
      <c r="L236" s="14" t="s">
        <v>67</v>
      </c>
      <c r="M236" s="14" t="s">
        <v>615</v>
      </c>
      <c r="N236" s="14" t="s">
        <v>389</v>
      </c>
      <c r="O236" s="14" t="s">
        <v>911</v>
      </c>
      <c r="P236" s="14" t="s">
        <v>90</v>
      </c>
      <c r="Q236" s="16" t="s">
        <v>616</v>
      </c>
    </row>
    <row r="237" customFormat="false" ht="22.35" hidden="false" customHeight="false" outlineLevel="0" collapsed="false">
      <c r="A237" s="14" t="n">
        <v>236</v>
      </c>
      <c r="B237" s="14" t="s">
        <v>920</v>
      </c>
      <c r="C237" s="14"/>
      <c r="D237" s="14" t="s">
        <v>14</v>
      </c>
      <c r="E237" s="14" t="s">
        <v>895</v>
      </c>
      <c r="F237" s="14" t="s">
        <v>921</v>
      </c>
      <c r="G237" s="14" t="s">
        <v>77</v>
      </c>
      <c r="H237" s="14" t="s">
        <v>896</v>
      </c>
      <c r="I237" s="14" t="s">
        <v>897</v>
      </c>
      <c r="J237" s="14" t="s">
        <v>898</v>
      </c>
      <c r="K237" s="17" t="n">
        <v>2</v>
      </c>
      <c r="L237" s="14" t="s">
        <v>67</v>
      </c>
      <c r="M237" s="14" t="s">
        <v>615</v>
      </c>
      <c r="N237" s="14" t="s">
        <v>389</v>
      </c>
      <c r="O237" s="14" t="s">
        <v>911</v>
      </c>
      <c r="P237" s="14" t="s">
        <v>90</v>
      </c>
      <c r="Q237" s="16" t="s">
        <v>616</v>
      </c>
    </row>
    <row r="238" customFormat="false" ht="22.35" hidden="false" customHeight="false" outlineLevel="0" collapsed="false">
      <c r="A238" s="14" t="n">
        <v>237</v>
      </c>
      <c r="B238" s="14" t="s">
        <v>922</v>
      </c>
      <c r="C238" s="14"/>
      <c r="D238" s="14" t="s">
        <v>14</v>
      </c>
      <c r="E238" s="14" t="s">
        <v>895</v>
      </c>
      <c r="F238" s="14" t="s">
        <v>923</v>
      </c>
      <c r="G238" s="14" t="s">
        <v>77</v>
      </c>
      <c r="H238" s="14" t="s">
        <v>896</v>
      </c>
      <c r="I238" s="14" t="s">
        <v>897</v>
      </c>
      <c r="J238" s="14" t="s">
        <v>898</v>
      </c>
      <c r="K238" s="17" t="n">
        <v>2</v>
      </c>
      <c r="L238" s="14" t="s">
        <v>67</v>
      </c>
      <c r="M238" s="14" t="s">
        <v>68</v>
      </c>
      <c r="N238" s="14" t="s">
        <v>389</v>
      </c>
      <c r="O238" s="14"/>
      <c r="P238" s="14" t="s">
        <v>71</v>
      </c>
      <c r="Q238" s="14" t="s">
        <v>72</v>
      </c>
    </row>
    <row r="239" customFormat="false" ht="22.35" hidden="false" customHeight="false" outlineLevel="0" collapsed="false">
      <c r="A239" s="14" t="n">
        <v>238</v>
      </c>
      <c r="B239" s="14" t="s">
        <v>924</v>
      </c>
      <c r="C239" s="14"/>
      <c r="D239" s="14" t="s">
        <v>14</v>
      </c>
      <c r="E239" s="14" t="s">
        <v>895</v>
      </c>
      <c r="F239" s="14" t="s">
        <v>925</v>
      </c>
      <c r="G239" s="14" t="s">
        <v>77</v>
      </c>
      <c r="H239" s="14" t="s">
        <v>896</v>
      </c>
      <c r="I239" s="14" t="s">
        <v>897</v>
      </c>
      <c r="J239" s="14" t="s">
        <v>898</v>
      </c>
      <c r="K239" s="17" t="n">
        <v>2</v>
      </c>
      <c r="L239" s="14" t="s">
        <v>67</v>
      </c>
      <c r="M239" s="14" t="s">
        <v>68</v>
      </c>
      <c r="N239" s="14" t="s">
        <v>389</v>
      </c>
      <c r="O239" s="14"/>
      <c r="P239" s="14" t="s">
        <v>71</v>
      </c>
      <c r="Q239" s="14" t="s">
        <v>72</v>
      </c>
    </row>
    <row r="240" customFormat="false" ht="22.35" hidden="false" customHeight="false" outlineLevel="0" collapsed="false">
      <c r="A240" s="14" t="n">
        <v>239</v>
      </c>
      <c r="B240" s="14" t="s">
        <v>926</v>
      </c>
      <c r="C240" s="14" t="s">
        <v>927</v>
      </c>
      <c r="D240" s="14" t="s">
        <v>14</v>
      </c>
      <c r="E240" s="14" t="s">
        <v>928</v>
      </c>
      <c r="F240" s="14" t="s">
        <v>606</v>
      </c>
      <c r="G240" s="14" t="s">
        <v>63</v>
      </c>
      <c r="H240" s="14" t="s">
        <v>896</v>
      </c>
      <c r="I240" s="14" t="s">
        <v>897</v>
      </c>
      <c r="J240" s="14" t="s">
        <v>898</v>
      </c>
      <c r="K240" s="17" t="n">
        <v>2</v>
      </c>
      <c r="L240" s="14" t="s">
        <v>67</v>
      </c>
      <c r="M240" s="14" t="s">
        <v>68</v>
      </c>
      <c r="N240" s="14" t="s">
        <v>389</v>
      </c>
      <c r="O240" s="14"/>
      <c r="P240" s="14" t="s">
        <v>71</v>
      </c>
      <c r="Q240" s="14" t="s">
        <v>72</v>
      </c>
    </row>
    <row r="241" customFormat="false" ht="22.35" hidden="false" customHeight="false" outlineLevel="0" collapsed="false">
      <c r="A241" s="14" t="n">
        <v>240</v>
      </c>
      <c r="B241" s="14" t="s">
        <v>929</v>
      </c>
      <c r="C241" s="14"/>
      <c r="D241" s="14" t="s">
        <v>14</v>
      </c>
      <c r="E241" s="14" t="s">
        <v>895</v>
      </c>
      <c r="F241" s="14" t="s">
        <v>930</v>
      </c>
      <c r="G241" s="14" t="s">
        <v>77</v>
      </c>
      <c r="H241" s="14" t="s">
        <v>896</v>
      </c>
      <c r="I241" s="14" t="s">
        <v>897</v>
      </c>
      <c r="J241" s="14" t="s">
        <v>898</v>
      </c>
      <c r="K241" s="17" t="n">
        <v>2</v>
      </c>
      <c r="L241" s="14" t="s">
        <v>67</v>
      </c>
      <c r="M241" s="14" t="s">
        <v>931</v>
      </c>
      <c r="N241" s="14" t="s">
        <v>389</v>
      </c>
      <c r="O241" s="14"/>
      <c r="P241" s="14" t="s">
        <v>90</v>
      </c>
      <c r="Q241" s="16" t="s">
        <v>932</v>
      </c>
    </row>
    <row r="242" customFormat="false" ht="22.35" hidden="false" customHeight="false" outlineLevel="0" collapsed="false">
      <c r="A242" s="14" t="n">
        <v>241</v>
      </c>
      <c r="B242" s="14" t="s">
        <v>933</v>
      </c>
      <c r="C242" s="14"/>
      <c r="D242" s="14" t="s">
        <v>14</v>
      </c>
      <c r="E242" s="14" t="s">
        <v>895</v>
      </c>
      <c r="F242" s="14" t="s">
        <v>934</v>
      </c>
      <c r="G242" s="14" t="s">
        <v>77</v>
      </c>
      <c r="H242" s="14" t="s">
        <v>896</v>
      </c>
      <c r="I242" s="14" t="s">
        <v>897</v>
      </c>
      <c r="J242" s="14" t="s">
        <v>898</v>
      </c>
      <c r="K242" s="17" t="n">
        <v>2</v>
      </c>
      <c r="L242" s="14" t="s">
        <v>67</v>
      </c>
      <c r="M242" s="14" t="s">
        <v>68</v>
      </c>
      <c r="N242" s="14" t="s">
        <v>389</v>
      </c>
      <c r="O242" s="14"/>
      <c r="P242" s="14" t="s">
        <v>71</v>
      </c>
      <c r="Q242" s="14" t="s">
        <v>72</v>
      </c>
    </row>
    <row r="243" customFormat="false" ht="22.35" hidden="false" customHeight="false" outlineLevel="0" collapsed="false">
      <c r="A243" s="14" t="n">
        <v>242</v>
      </c>
      <c r="B243" s="14" t="s">
        <v>935</v>
      </c>
      <c r="C243" s="14"/>
      <c r="D243" s="14" t="s">
        <v>14</v>
      </c>
      <c r="E243" s="14" t="s">
        <v>895</v>
      </c>
      <c r="F243" s="14" t="s">
        <v>553</v>
      </c>
      <c r="G243" s="14" t="s">
        <v>77</v>
      </c>
      <c r="H243" s="14" t="s">
        <v>896</v>
      </c>
      <c r="I243" s="14" t="s">
        <v>897</v>
      </c>
      <c r="J243" s="14" t="s">
        <v>898</v>
      </c>
      <c r="K243" s="17" t="n">
        <v>2</v>
      </c>
      <c r="L243" s="14" t="s">
        <v>67</v>
      </c>
      <c r="M243" s="14" t="s">
        <v>615</v>
      </c>
      <c r="N243" s="14" t="s">
        <v>389</v>
      </c>
      <c r="O243" s="14" t="s">
        <v>911</v>
      </c>
      <c r="P243" s="14" t="s">
        <v>90</v>
      </c>
      <c r="Q243" s="16" t="s">
        <v>616</v>
      </c>
    </row>
    <row r="244" customFormat="false" ht="22.35" hidden="false" customHeight="false" outlineLevel="0" collapsed="false">
      <c r="A244" s="14" t="n">
        <v>243</v>
      </c>
      <c r="B244" s="14" t="s">
        <v>936</v>
      </c>
      <c r="C244" s="14" t="s">
        <v>937</v>
      </c>
      <c r="D244" s="14" t="s">
        <v>14</v>
      </c>
      <c r="E244" s="14" t="s">
        <v>895</v>
      </c>
      <c r="F244" s="14" t="s">
        <v>938</v>
      </c>
      <c r="G244" s="14" t="s">
        <v>63</v>
      </c>
      <c r="H244" s="14" t="s">
        <v>896</v>
      </c>
      <c r="I244" s="14" t="s">
        <v>897</v>
      </c>
      <c r="J244" s="14" t="s">
        <v>898</v>
      </c>
      <c r="K244" s="17" t="n">
        <v>2</v>
      </c>
      <c r="L244" s="14" t="s">
        <v>67</v>
      </c>
      <c r="M244" s="14" t="s">
        <v>68</v>
      </c>
      <c r="N244" s="14" t="s">
        <v>389</v>
      </c>
      <c r="O244" s="14"/>
      <c r="P244" s="14" t="s">
        <v>71</v>
      </c>
      <c r="Q244" s="14" t="s">
        <v>72</v>
      </c>
    </row>
    <row r="245" customFormat="false" ht="22.35" hidden="false" customHeight="false" outlineLevel="0" collapsed="false">
      <c r="A245" s="14" t="n">
        <v>244</v>
      </c>
      <c r="B245" s="14" t="s">
        <v>939</v>
      </c>
      <c r="C245" s="14" t="s">
        <v>940</v>
      </c>
      <c r="D245" s="14" t="s">
        <v>14</v>
      </c>
      <c r="E245" s="14" t="s">
        <v>364</v>
      </c>
      <c r="F245" s="14" t="s">
        <v>941</v>
      </c>
      <c r="G245" s="14" t="s">
        <v>63</v>
      </c>
      <c r="H245" s="14" t="s">
        <v>896</v>
      </c>
      <c r="I245" s="14" t="s">
        <v>897</v>
      </c>
      <c r="J245" s="14" t="s">
        <v>898</v>
      </c>
      <c r="K245" s="17" t="n">
        <v>2</v>
      </c>
      <c r="L245" s="14" t="s">
        <v>67</v>
      </c>
      <c r="M245" s="14" t="s">
        <v>68</v>
      </c>
      <c r="N245" s="14" t="s">
        <v>389</v>
      </c>
      <c r="O245" s="14"/>
      <c r="P245" s="14" t="s">
        <v>71</v>
      </c>
      <c r="Q245" s="14" t="s">
        <v>72</v>
      </c>
    </row>
    <row r="246" customFormat="false" ht="22.35" hidden="false" customHeight="false" outlineLevel="0" collapsed="false">
      <c r="A246" s="14" t="n">
        <v>245</v>
      </c>
      <c r="B246" s="14" t="s">
        <v>942</v>
      </c>
      <c r="C246" s="14"/>
      <c r="D246" s="14" t="s">
        <v>14</v>
      </c>
      <c r="E246" s="14" t="s">
        <v>895</v>
      </c>
      <c r="F246" s="14" t="s">
        <v>553</v>
      </c>
      <c r="G246" s="14" t="s">
        <v>77</v>
      </c>
      <c r="H246" s="14" t="s">
        <v>896</v>
      </c>
      <c r="I246" s="14" t="s">
        <v>897</v>
      </c>
      <c r="J246" s="14" t="s">
        <v>898</v>
      </c>
      <c r="K246" s="17" t="n">
        <v>2</v>
      </c>
      <c r="L246" s="14" t="s">
        <v>67</v>
      </c>
      <c r="M246" s="14" t="s">
        <v>615</v>
      </c>
      <c r="N246" s="14" t="s">
        <v>389</v>
      </c>
      <c r="O246" s="14" t="s">
        <v>911</v>
      </c>
      <c r="P246" s="14" t="s">
        <v>90</v>
      </c>
      <c r="Q246" s="16" t="s">
        <v>616</v>
      </c>
    </row>
    <row r="247" customFormat="false" ht="22.35" hidden="false" customHeight="false" outlineLevel="0" collapsed="false">
      <c r="A247" s="14" t="n">
        <v>246</v>
      </c>
      <c r="B247" s="14" t="s">
        <v>943</v>
      </c>
      <c r="C247" s="14"/>
      <c r="D247" s="14" t="s">
        <v>14</v>
      </c>
      <c r="E247" s="14" t="s">
        <v>364</v>
      </c>
      <c r="F247" s="14" t="s">
        <v>944</v>
      </c>
      <c r="G247" s="14" t="s">
        <v>63</v>
      </c>
      <c r="H247" s="14" t="s">
        <v>896</v>
      </c>
      <c r="I247" s="14" t="s">
        <v>897</v>
      </c>
      <c r="J247" s="14" t="s">
        <v>898</v>
      </c>
      <c r="K247" s="17" t="n">
        <v>2</v>
      </c>
      <c r="L247" s="14" t="s">
        <v>67</v>
      </c>
      <c r="M247" s="14" t="s">
        <v>68</v>
      </c>
      <c r="N247" s="14" t="s">
        <v>389</v>
      </c>
      <c r="O247" s="14"/>
      <c r="P247" s="14" t="s">
        <v>71</v>
      </c>
      <c r="Q247" s="14" t="s">
        <v>72</v>
      </c>
    </row>
    <row r="248" customFormat="false" ht="22.35" hidden="false" customHeight="false" outlineLevel="0" collapsed="false">
      <c r="A248" s="14" t="n">
        <v>247</v>
      </c>
      <c r="B248" s="14" t="s">
        <v>945</v>
      </c>
      <c r="C248" s="14"/>
      <c r="D248" s="14" t="s">
        <v>14</v>
      </c>
      <c r="E248" s="14" t="s">
        <v>895</v>
      </c>
      <c r="F248" s="14" t="s">
        <v>553</v>
      </c>
      <c r="G248" s="14"/>
      <c r="H248" s="14" t="s">
        <v>896</v>
      </c>
      <c r="I248" s="14" t="s">
        <v>897</v>
      </c>
      <c r="J248" s="14" t="s">
        <v>898</v>
      </c>
      <c r="K248" s="17" t="n">
        <v>2</v>
      </c>
      <c r="L248" s="14" t="s">
        <v>67</v>
      </c>
      <c r="M248" s="14" t="s">
        <v>615</v>
      </c>
      <c r="N248" s="14" t="s">
        <v>389</v>
      </c>
      <c r="O248" s="14" t="s">
        <v>899</v>
      </c>
      <c r="P248" s="14" t="s">
        <v>90</v>
      </c>
      <c r="Q248" s="16" t="s">
        <v>616</v>
      </c>
    </row>
    <row r="249" customFormat="false" ht="22.35" hidden="false" customHeight="false" outlineLevel="0" collapsed="false">
      <c r="A249" s="14" t="n">
        <v>248</v>
      </c>
      <c r="B249" s="14" t="s">
        <v>946</v>
      </c>
      <c r="C249" s="14" t="s">
        <v>913</v>
      </c>
      <c r="D249" s="14" t="s">
        <v>14</v>
      </c>
      <c r="E249" s="14" t="s">
        <v>928</v>
      </c>
      <c r="F249" s="14" t="s">
        <v>947</v>
      </c>
      <c r="G249" s="14" t="s">
        <v>493</v>
      </c>
      <c r="H249" s="14" t="s">
        <v>896</v>
      </c>
      <c r="I249" s="14" t="s">
        <v>897</v>
      </c>
      <c r="J249" s="14" t="s">
        <v>898</v>
      </c>
      <c r="K249" s="17" t="n">
        <v>2</v>
      </c>
      <c r="L249" s="14" t="s">
        <v>67</v>
      </c>
      <c r="M249" s="14" t="s">
        <v>68</v>
      </c>
      <c r="N249" s="14" t="s">
        <v>389</v>
      </c>
      <c r="O249" s="14"/>
      <c r="P249" s="14" t="s">
        <v>71</v>
      </c>
      <c r="Q249" s="14" t="s">
        <v>72</v>
      </c>
    </row>
    <row r="250" customFormat="false" ht="22.35" hidden="false" customHeight="false" outlineLevel="0" collapsed="false">
      <c r="A250" s="14" t="n">
        <v>249</v>
      </c>
      <c r="B250" s="14" t="s">
        <v>948</v>
      </c>
      <c r="C250" s="14" t="s">
        <v>902</v>
      </c>
      <c r="D250" s="14" t="s">
        <v>14</v>
      </c>
      <c r="E250" s="14" t="s">
        <v>895</v>
      </c>
      <c r="F250" s="14" t="s">
        <v>949</v>
      </c>
      <c r="G250" s="14" t="s">
        <v>63</v>
      </c>
      <c r="H250" s="14" t="s">
        <v>896</v>
      </c>
      <c r="I250" s="14" t="s">
        <v>897</v>
      </c>
      <c r="J250" s="14" t="s">
        <v>898</v>
      </c>
      <c r="K250" s="17" t="n">
        <v>2</v>
      </c>
      <c r="L250" s="14" t="s">
        <v>67</v>
      </c>
      <c r="M250" s="14" t="s">
        <v>68</v>
      </c>
      <c r="N250" s="14" t="s">
        <v>389</v>
      </c>
      <c r="O250" s="14"/>
      <c r="P250" s="14" t="s">
        <v>71</v>
      </c>
      <c r="Q250" s="14" t="s">
        <v>72</v>
      </c>
    </row>
    <row r="251" customFormat="false" ht="22.35" hidden="false" customHeight="false" outlineLevel="0" collapsed="false">
      <c r="A251" s="14" t="n">
        <v>250</v>
      </c>
      <c r="B251" s="14" t="s">
        <v>950</v>
      </c>
      <c r="C251" s="14" t="s">
        <v>951</v>
      </c>
      <c r="D251" s="14" t="s">
        <v>14</v>
      </c>
      <c r="E251" s="14" t="s">
        <v>952</v>
      </c>
      <c r="F251" s="14" t="s">
        <v>925</v>
      </c>
      <c r="G251" s="14" t="s">
        <v>77</v>
      </c>
      <c r="H251" s="14" t="s">
        <v>896</v>
      </c>
      <c r="I251" s="14" t="s">
        <v>897</v>
      </c>
      <c r="J251" s="14" t="s">
        <v>898</v>
      </c>
      <c r="K251" s="17" t="n">
        <v>2</v>
      </c>
      <c r="L251" s="14" t="s">
        <v>67</v>
      </c>
      <c r="M251" s="14" t="s">
        <v>68</v>
      </c>
      <c r="N251" s="14" t="s">
        <v>389</v>
      </c>
      <c r="O251" s="14"/>
      <c r="P251" s="14" t="s">
        <v>71</v>
      </c>
      <c r="Q251" s="14" t="s">
        <v>72</v>
      </c>
    </row>
    <row r="252" customFormat="false" ht="32.8" hidden="false" customHeight="false" outlineLevel="0" collapsed="false">
      <c r="A252" s="14" t="n">
        <v>251</v>
      </c>
      <c r="B252" s="14" t="s">
        <v>953</v>
      </c>
      <c r="C252" s="14"/>
      <c r="D252" s="14" t="s">
        <v>8</v>
      </c>
      <c r="E252" s="14" t="s">
        <v>954</v>
      </c>
      <c r="F252" s="14" t="s">
        <v>135</v>
      </c>
      <c r="G252" s="14" t="s">
        <v>63</v>
      </c>
      <c r="H252" s="14" t="s">
        <v>385</v>
      </c>
      <c r="I252" s="14" t="s">
        <v>386</v>
      </c>
      <c r="J252" s="14" t="s">
        <v>387</v>
      </c>
      <c r="K252" s="17" t="n">
        <v>2</v>
      </c>
      <c r="L252" s="14" t="s">
        <v>67</v>
      </c>
      <c r="M252" s="14" t="s">
        <v>955</v>
      </c>
      <c r="N252" s="14" t="s">
        <v>389</v>
      </c>
      <c r="O252" s="14" t="s">
        <v>956</v>
      </c>
      <c r="P252" s="14" t="s">
        <v>90</v>
      </c>
      <c r="Q252" s="16" t="s">
        <v>703</v>
      </c>
    </row>
    <row r="253" customFormat="false" ht="32.8" hidden="false" customHeight="false" outlineLevel="0" collapsed="false">
      <c r="A253" s="14" t="n">
        <v>252</v>
      </c>
      <c r="B253" s="14" t="s">
        <v>957</v>
      </c>
      <c r="C253" s="14"/>
      <c r="D253" s="14" t="s">
        <v>8</v>
      </c>
      <c r="E253" s="14" t="s">
        <v>954</v>
      </c>
      <c r="F253" s="14" t="s">
        <v>62</v>
      </c>
      <c r="G253" s="14" t="s">
        <v>63</v>
      </c>
      <c r="H253" s="14" t="s">
        <v>385</v>
      </c>
      <c r="I253" s="14" t="s">
        <v>386</v>
      </c>
      <c r="J253" s="14" t="s">
        <v>387</v>
      </c>
      <c r="K253" s="17" t="n">
        <v>2</v>
      </c>
      <c r="L253" s="14" t="s">
        <v>67</v>
      </c>
      <c r="M253" s="14" t="s">
        <v>958</v>
      </c>
      <c r="N253" s="14" t="s">
        <v>389</v>
      </c>
      <c r="O253" s="14" t="s">
        <v>956</v>
      </c>
      <c r="P253" s="14" t="s">
        <v>90</v>
      </c>
      <c r="Q253" s="16" t="s">
        <v>959</v>
      </c>
    </row>
    <row r="254" customFormat="false" ht="32.8" hidden="false" customHeight="false" outlineLevel="0" collapsed="false">
      <c r="A254" s="14" t="n">
        <v>253</v>
      </c>
      <c r="B254" s="14" t="s">
        <v>960</v>
      </c>
      <c r="C254" s="14" t="s">
        <v>961</v>
      </c>
      <c r="D254" s="14" t="s">
        <v>8</v>
      </c>
      <c r="E254" s="14" t="s">
        <v>962</v>
      </c>
      <c r="F254" s="14" t="s">
        <v>963</v>
      </c>
      <c r="G254" s="14" t="s">
        <v>63</v>
      </c>
      <c r="H254" s="14" t="s">
        <v>385</v>
      </c>
      <c r="I254" s="14" t="s">
        <v>386</v>
      </c>
      <c r="J254" s="14" t="s">
        <v>387</v>
      </c>
      <c r="K254" s="17" t="n">
        <v>2</v>
      </c>
      <c r="L254" s="14" t="s">
        <v>67</v>
      </c>
      <c r="M254" s="14" t="s">
        <v>68</v>
      </c>
      <c r="N254" s="14" t="s">
        <v>389</v>
      </c>
      <c r="O254" s="14"/>
      <c r="P254" s="14" t="s">
        <v>71</v>
      </c>
      <c r="Q254" s="14" t="s">
        <v>72</v>
      </c>
    </row>
    <row r="255" customFormat="false" ht="32.8" hidden="false" customHeight="false" outlineLevel="0" collapsed="false">
      <c r="A255" s="14" t="n">
        <v>254</v>
      </c>
      <c r="B255" s="14" t="s">
        <v>964</v>
      </c>
      <c r="C255" s="14"/>
      <c r="D255" s="14" t="s">
        <v>8</v>
      </c>
      <c r="E255" s="14" t="s">
        <v>965</v>
      </c>
      <c r="F255" s="14" t="s">
        <v>188</v>
      </c>
      <c r="G255" s="14" t="s">
        <v>63</v>
      </c>
      <c r="H255" s="14" t="s">
        <v>385</v>
      </c>
      <c r="I255" s="14" t="s">
        <v>386</v>
      </c>
      <c r="J255" s="14" t="s">
        <v>387</v>
      </c>
      <c r="K255" s="17" t="n">
        <v>2</v>
      </c>
      <c r="L255" s="14" t="s">
        <v>67</v>
      </c>
      <c r="M255" s="14" t="s">
        <v>966</v>
      </c>
      <c r="N255" s="14" t="s">
        <v>389</v>
      </c>
      <c r="O255" s="14"/>
      <c r="P255" s="14" t="s">
        <v>90</v>
      </c>
      <c r="Q255" s="16" t="s">
        <v>959</v>
      </c>
    </row>
    <row r="256" customFormat="false" ht="32.8" hidden="false" customHeight="false" outlineLevel="0" collapsed="false">
      <c r="A256" s="14" t="n">
        <v>255</v>
      </c>
      <c r="B256" s="14" t="s">
        <v>967</v>
      </c>
      <c r="C256" s="14" t="s">
        <v>968</v>
      </c>
      <c r="D256" s="14" t="s">
        <v>8</v>
      </c>
      <c r="E256" s="14" t="s">
        <v>969</v>
      </c>
      <c r="F256" s="14" t="s">
        <v>601</v>
      </c>
      <c r="G256" s="14" t="s">
        <v>77</v>
      </c>
      <c r="H256" s="14" t="s">
        <v>385</v>
      </c>
      <c r="I256" s="14" t="s">
        <v>386</v>
      </c>
      <c r="J256" s="14" t="s">
        <v>387</v>
      </c>
      <c r="K256" s="17" t="n">
        <v>2</v>
      </c>
      <c r="L256" s="14" t="s">
        <v>67</v>
      </c>
      <c r="M256" s="14" t="s">
        <v>68</v>
      </c>
      <c r="N256" s="14" t="s">
        <v>389</v>
      </c>
      <c r="O256" s="14"/>
      <c r="P256" s="14" t="s">
        <v>71</v>
      </c>
      <c r="Q256" s="14" t="s">
        <v>72</v>
      </c>
    </row>
    <row r="257" customFormat="false" ht="32.8" hidden="false" customHeight="false" outlineLevel="0" collapsed="false">
      <c r="A257" s="14" t="n">
        <v>256</v>
      </c>
      <c r="B257" s="14" t="s">
        <v>970</v>
      </c>
      <c r="C257" s="14" t="s">
        <v>968</v>
      </c>
      <c r="D257" s="14" t="s">
        <v>8</v>
      </c>
      <c r="E257" s="14" t="s">
        <v>971</v>
      </c>
      <c r="F257" s="14" t="s">
        <v>215</v>
      </c>
      <c r="G257" s="14" t="s">
        <v>77</v>
      </c>
      <c r="H257" s="14" t="s">
        <v>385</v>
      </c>
      <c r="I257" s="14" t="s">
        <v>386</v>
      </c>
      <c r="J257" s="14" t="s">
        <v>387</v>
      </c>
      <c r="K257" s="17" t="n">
        <v>2</v>
      </c>
      <c r="L257" s="14" t="s">
        <v>67</v>
      </c>
      <c r="M257" s="14" t="s">
        <v>68</v>
      </c>
      <c r="N257" s="14" t="s">
        <v>389</v>
      </c>
      <c r="O257" s="14"/>
      <c r="P257" s="14" t="s">
        <v>71</v>
      </c>
      <c r="Q257" s="14" t="s">
        <v>72</v>
      </c>
    </row>
    <row r="258" customFormat="false" ht="32.8" hidden="false" customHeight="false" outlineLevel="0" collapsed="false">
      <c r="A258" s="14" t="n">
        <v>257</v>
      </c>
      <c r="B258" s="14" t="s">
        <v>972</v>
      </c>
      <c r="C258" s="14"/>
      <c r="D258" s="14" t="s">
        <v>8</v>
      </c>
      <c r="E258" s="14" t="s">
        <v>436</v>
      </c>
      <c r="F258" s="14" t="s">
        <v>62</v>
      </c>
      <c r="G258" s="14" t="s">
        <v>63</v>
      </c>
      <c r="H258" s="14" t="s">
        <v>385</v>
      </c>
      <c r="I258" s="14" t="s">
        <v>386</v>
      </c>
      <c r="J258" s="14" t="s">
        <v>387</v>
      </c>
      <c r="K258" s="17" t="n">
        <v>2</v>
      </c>
      <c r="L258" s="14" t="s">
        <v>67</v>
      </c>
      <c r="M258" s="14" t="s">
        <v>68</v>
      </c>
      <c r="N258" s="14" t="s">
        <v>389</v>
      </c>
      <c r="O258" s="14"/>
      <c r="P258" s="14" t="s">
        <v>71</v>
      </c>
      <c r="Q258" s="14" t="s">
        <v>72</v>
      </c>
    </row>
    <row r="259" customFormat="false" ht="32.8" hidden="false" customHeight="false" outlineLevel="0" collapsed="false">
      <c r="A259" s="14" t="n">
        <v>258</v>
      </c>
      <c r="B259" s="14" t="s">
        <v>973</v>
      </c>
      <c r="C259" s="14"/>
      <c r="D259" s="14" t="s">
        <v>8</v>
      </c>
      <c r="E259" s="14" t="s">
        <v>954</v>
      </c>
      <c r="F259" s="14" t="s">
        <v>135</v>
      </c>
      <c r="G259" s="14" t="s">
        <v>63</v>
      </c>
      <c r="H259" s="14" t="s">
        <v>385</v>
      </c>
      <c r="I259" s="14" t="s">
        <v>386</v>
      </c>
      <c r="J259" s="14" t="s">
        <v>387</v>
      </c>
      <c r="K259" s="17" t="n">
        <v>2</v>
      </c>
      <c r="L259" s="14" t="s">
        <v>67</v>
      </c>
      <c r="M259" s="14" t="s">
        <v>974</v>
      </c>
      <c r="N259" s="14" t="s">
        <v>389</v>
      </c>
      <c r="O259" s="14" t="s">
        <v>956</v>
      </c>
      <c r="P259" s="14" t="s">
        <v>90</v>
      </c>
      <c r="Q259" s="16" t="s">
        <v>959</v>
      </c>
    </row>
    <row r="260" customFormat="false" ht="32.8" hidden="false" customHeight="false" outlineLevel="0" collapsed="false">
      <c r="A260" s="14" t="n">
        <v>259</v>
      </c>
      <c r="B260" s="14" t="s">
        <v>975</v>
      </c>
      <c r="C260" s="14"/>
      <c r="D260" s="14" t="s">
        <v>8</v>
      </c>
      <c r="E260" s="14" t="s">
        <v>954</v>
      </c>
      <c r="F260" s="14" t="s">
        <v>62</v>
      </c>
      <c r="G260" s="14" t="s">
        <v>63</v>
      </c>
      <c r="H260" s="14" t="s">
        <v>385</v>
      </c>
      <c r="I260" s="14" t="s">
        <v>386</v>
      </c>
      <c r="J260" s="14" t="s">
        <v>387</v>
      </c>
      <c r="K260" s="17" t="n">
        <v>2</v>
      </c>
      <c r="L260" s="14" t="s">
        <v>67</v>
      </c>
      <c r="M260" s="14" t="s">
        <v>976</v>
      </c>
      <c r="N260" s="14" t="s">
        <v>389</v>
      </c>
      <c r="O260" s="14" t="s">
        <v>956</v>
      </c>
      <c r="P260" s="14" t="s">
        <v>90</v>
      </c>
      <c r="Q260" s="16" t="s">
        <v>959</v>
      </c>
    </row>
    <row r="261" customFormat="false" ht="32.8" hidden="false" customHeight="false" outlineLevel="0" collapsed="false">
      <c r="A261" s="14" t="n">
        <v>260</v>
      </c>
      <c r="B261" s="14" t="s">
        <v>977</v>
      </c>
      <c r="C261" s="14"/>
      <c r="D261" s="14" t="s">
        <v>8</v>
      </c>
      <c r="E261" s="14" t="s">
        <v>384</v>
      </c>
      <c r="F261" s="14" t="s">
        <v>215</v>
      </c>
      <c r="G261" s="14" t="s">
        <v>77</v>
      </c>
      <c r="H261" s="14" t="s">
        <v>385</v>
      </c>
      <c r="I261" s="14" t="s">
        <v>386</v>
      </c>
      <c r="J261" s="14" t="s">
        <v>387</v>
      </c>
      <c r="K261" s="17" t="n">
        <v>2</v>
      </c>
      <c r="L261" s="14" t="s">
        <v>67</v>
      </c>
      <c r="M261" s="14" t="s">
        <v>978</v>
      </c>
      <c r="N261" s="14" t="s">
        <v>389</v>
      </c>
      <c r="O261" s="14"/>
      <c r="P261" s="14" t="s">
        <v>90</v>
      </c>
      <c r="Q261" s="16" t="s">
        <v>703</v>
      </c>
    </row>
    <row r="262" customFormat="false" ht="32.8" hidden="false" customHeight="false" outlineLevel="0" collapsed="false">
      <c r="A262" s="14" t="n">
        <v>261</v>
      </c>
      <c r="B262" s="14" t="s">
        <v>979</v>
      </c>
      <c r="C262" s="14"/>
      <c r="D262" s="14" t="s">
        <v>8</v>
      </c>
      <c r="E262" s="14" t="s">
        <v>384</v>
      </c>
      <c r="F262" s="14" t="s">
        <v>215</v>
      </c>
      <c r="G262" s="14" t="s">
        <v>77</v>
      </c>
      <c r="H262" s="14" t="s">
        <v>385</v>
      </c>
      <c r="I262" s="14" t="s">
        <v>386</v>
      </c>
      <c r="J262" s="14" t="s">
        <v>387</v>
      </c>
      <c r="K262" s="17" t="n">
        <v>2</v>
      </c>
      <c r="L262" s="14" t="s">
        <v>67</v>
      </c>
      <c r="M262" s="14" t="s">
        <v>980</v>
      </c>
      <c r="N262" s="14" t="s">
        <v>389</v>
      </c>
      <c r="O262" s="14"/>
      <c r="P262" s="14" t="s">
        <v>90</v>
      </c>
      <c r="Q262" s="16" t="s">
        <v>703</v>
      </c>
    </row>
    <row r="263" customFormat="false" ht="32.8" hidden="false" customHeight="false" outlineLevel="0" collapsed="false">
      <c r="A263" s="14" t="n">
        <v>262</v>
      </c>
      <c r="B263" s="14" t="s">
        <v>981</v>
      </c>
      <c r="C263" s="14" t="s">
        <v>982</v>
      </c>
      <c r="D263" s="14" t="s">
        <v>8</v>
      </c>
      <c r="E263" s="14" t="s">
        <v>384</v>
      </c>
      <c r="F263" s="14" t="s">
        <v>62</v>
      </c>
      <c r="G263" s="14" t="s">
        <v>63</v>
      </c>
      <c r="H263" s="14" t="s">
        <v>385</v>
      </c>
      <c r="I263" s="14" t="s">
        <v>386</v>
      </c>
      <c r="J263" s="14" t="s">
        <v>387</v>
      </c>
      <c r="K263" s="17" t="n">
        <v>2</v>
      </c>
      <c r="L263" s="14" t="s">
        <v>67</v>
      </c>
      <c r="M263" s="14" t="s">
        <v>68</v>
      </c>
      <c r="N263" s="14" t="s">
        <v>389</v>
      </c>
      <c r="O263" s="14"/>
      <c r="P263" s="14" t="s">
        <v>71</v>
      </c>
      <c r="Q263" s="14" t="s">
        <v>72</v>
      </c>
    </row>
    <row r="264" customFormat="false" ht="32.8" hidden="false" customHeight="false" outlineLevel="0" collapsed="false">
      <c r="A264" s="14" t="n">
        <v>263</v>
      </c>
      <c r="B264" s="14" t="s">
        <v>983</v>
      </c>
      <c r="C264" s="14"/>
      <c r="D264" s="14" t="s">
        <v>8</v>
      </c>
      <c r="E264" s="14" t="s">
        <v>984</v>
      </c>
      <c r="F264" s="14" t="s">
        <v>215</v>
      </c>
      <c r="G264" s="14" t="s">
        <v>77</v>
      </c>
      <c r="H264" s="14" t="s">
        <v>385</v>
      </c>
      <c r="I264" s="14" t="s">
        <v>386</v>
      </c>
      <c r="J264" s="14" t="s">
        <v>387</v>
      </c>
      <c r="K264" s="17" t="n">
        <v>2</v>
      </c>
      <c r="L264" s="14" t="s">
        <v>67</v>
      </c>
      <c r="M264" s="14" t="s">
        <v>985</v>
      </c>
      <c r="N264" s="14" t="s">
        <v>389</v>
      </c>
      <c r="O264" s="14"/>
      <c r="P264" s="14" t="s">
        <v>90</v>
      </c>
      <c r="Q264" s="16" t="s">
        <v>703</v>
      </c>
    </row>
    <row r="265" customFormat="false" ht="32.8" hidden="false" customHeight="false" outlineLevel="0" collapsed="false">
      <c r="A265" s="14" t="n">
        <v>264</v>
      </c>
      <c r="B265" s="14" t="s">
        <v>986</v>
      </c>
      <c r="C265" s="14" t="s">
        <v>987</v>
      </c>
      <c r="D265" s="14" t="s">
        <v>8</v>
      </c>
      <c r="E265" s="14" t="s">
        <v>971</v>
      </c>
      <c r="F265" s="14" t="s">
        <v>62</v>
      </c>
      <c r="G265" s="14" t="s">
        <v>63</v>
      </c>
      <c r="H265" s="14" t="s">
        <v>385</v>
      </c>
      <c r="I265" s="14" t="s">
        <v>386</v>
      </c>
      <c r="J265" s="14" t="s">
        <v>387</v>
      </c>
      <c r="K265" s="17" t="n">
        <v>2</v>
      </c>
      <c r="L265" s="14" t="s">
        <v>67</v>
      </c>
      <c r="M265" s="14" t="s">
        <v>68</v>
      </c>
      <c r="N265" s="14" t="s">
        <v>389</v>
      </c>
      <c r="O265" s="14"/>
      <c r="P265" s="14" t="s">
        <v>71</v>
      </c>
      <c r="Q265" s="14" t="s">
        <v>72</v>
      </c>
    </row>
    <row r="266" customFormat="false" ht="32.8" hidden="false" customHeight="false" outlineLevel="0" collapsed="false">
      <c r="A266" s="14" t="n">
        <v>265</v>
      </c>
      <c r="B266" s="14" t="s">
        <v>988</v>
      </c>
      <c r="C266" s="14"/>
      <c r="D266" s="14" t="s">
        <v>8</v>
      </c>
      <c r="E266" s="14" t="s">
        <v>954</v>
      </c>
      <c r="F266" s="14" t="s">
        <v>135</v>
      </c>
      <c r="G266" s="14" t="s">
        <v>63</v>
      </c>
      <c r="H266" s="14" t="s">
        <v>385</v>
      </c>
      <c r="I266" s="14" t="s">
        <v>386</v>
      </c>
      <c r="J266" s="14" t="s">
        <v>387</v>
      </c>
      <c r="K266" s="17" t="n">
        <v>2</v>
      </c>
      <c r="L266" s="14" t="s">
        <v>67</v>
      </c>
      <c r="M266" s="14" t="s">
        <v>989</v>
      </c>
      <c r="N266" s="14" t="s">
        <v>389</v>
      </c>
      <c r="O266" s="14" t="s">
        <v>956</v>
      </c>
      <c r="P266" s="14" t="s">
        <v>90</v>
      </c>
      <c r="Q266" s="16" t="s">
        <v>959</v>
      </c>
    </row>
    <row r="267" customFormat="false" ht="32.8" hidden="false" customHeight="false" outlineLevel="0" collapsed="false">
      <c r="A267" s="14" t="n">
        <v>266</v>
      </c>
      <c r="B267" s="14" t="s">
        <v>990</v>
      </c>
      <c r="C267" s="14" t="s">
        <v>991</v>
      </c>
      <c r="D267" s="14" t="s">
        <v>8</v>
      </c>
      <c r="E267" s="14" t="s">
        <v>992</v>
      </c>
      <c r="F267" s="14" t="s">
        <v>993</v>
      </c>
      <c r="G267" s="14" t="s">
        <v>77</v>
      </c>
      <c r="H267" s="14" t="s">
        <v>385</v>
      </c>
      <c r="I267" s="14" t="s">
        <v>386</v>
      </c>
      <c r="J267" s="14" t="s">
        <v>387</v>
      </c>
      <c r="K267" s="17" t="n">
        <v>2</v>
      </c>
      <c r="L267" s="14" t="s">
        <v>67</v>
      </c>
      <c r="M267" s="14" t="s">
        <v>68</v>
      </c>
      <c r="N267" s="14" t="s">
        <v>389</v>
      </c>
      <c r="O267" s="14"/>
      <c r="P267" s="14" t="s">
        <v>71</v>
      </c>
      <c r="Q267" s="14" t="s">
        <v>72</v>
      </c>
    </row>
    <row r="268" customFormat="false" ht="32.8" hidden="false" customHeight="false" outlineLevel="0" collapsed="false">
      <c r="A268" s="14" t="n">
        <v>267</v>
      </c>
      <c r="B268" s="14" t="s">
        <v>994</v>
      </c>
      <c r="C268" s="14" t="s">
        <v>995</v>
      </c>
      <c r="D268" s="14" t="s">
        <v>8</v>
      </c>
      <c r="E268" s="14" t="s">
        <v>436</v>
      </c>
      <c r="F268" s="14" t="s">
        <v>62</v>
      </c>
      <c r="G268" s="14" t="s">
        <v>63</v>
      </c>
      <c r="H268" s="14" t="s">
        <v>385</v>
      </c>
      <c r="I268" s="14" t="s">
        <v>386</v>
      </c>
      <c r="J268" s="14" t="s">
        <v>387</v>
      </c>
      <c r="K268" s="17" t="n">
        <v>2</v>
      </c>
      <c r="L268" s="14" t="s">
        <v>67</v>
      </c>
      <c r="M268" s="14" t="s">
        <v>68</v>
      </c>
      <c r="N268" s="14" t="s">
        <v>389</v>
      </c>
      <c r="O268" s="14"/>
      <c r="P268" s="14" t="s">
        <v>71</v>
      </c>
      <c r="Q268" s="14" t="s">
        <v>72</v>
      </c>
    </row>
    <row r="269" customFormat="false" ht="32.8" hidden="false" customHeight="false" outlineLevel="0" collapsed="false">
      <c r="A269" s="14" t="n">
        <v>268</v>
      </c>
      <c r="B269" s="14" t="s">
        <v>996</v>
      </c>
      <c r="C269" s="14"/>
      <c r="D269" s="14" t="s">
        <v>8</v>
      </c>
      <c r="E269" s="14" t="s">
        <v>954</v>
      </c>
      <c r="F269" s="14" t="s">
        <v>62</v>
      </c>
      <c r="G269" s="14" t="s">
        <v>63</v>
      </c>
      <c r="H269" s="14" t="s">
        <v>385</v>
      </c>
      <c r="I269" s="14" t="s">
        <v>386</v>
      </c>
      <c r="J269" s="14" t="s">
        <v>387</v>
      </c>
      <c r="K269" s="17" t="n">
        <v>2</v>
      </c>
      <c r="L269" s="14" t="s">
        <v>67</v>
      </c>
      <c r="M269" s="14" t="s">
        <v>997</v>
      </c>
      <c r="N269" s="14" t="s">
        <v>389</v>
      </c>
      <c r="O269" s="14" t="s">
        <v>956</v>
      </c>
      <c r="P269" s="14" t="s">
        <v>90</v>
      </c>
      <c r="Q269" s="16" t="s">
        <v>703</v>
      </c>
    </row>
    <row r="270" customFormat="false" ht="32.8" hidden="false" customHeight="false" outlineLevel="0" collapsed="false">
      <c r="A270" s="14" t="n">
        <v>269</v>
      </c>
      <c r="B270" s="14" t="s">
        <v>998</v>
      </c>
      <c r="C270" s="14"/>
      <c r="D270" s="14" t="s">
        <v>8</v>
      </c>
      <c r="E270" s="14" t="s">
        <v>999</v>
      </c>
      <c r="F270" s="14" t="s">
        <v>553</v>
      </c>
      <c r="G270" s="14"/>
      <c r="H270" s="14" t="s">
        <v>385</v>
      </c>
      <c r="I270" s="14" t="s">
        <v>386</v>
      </c>
      <c r="J270" s="14" t="s">
        <v>387</v>
      </c>
      <c r="K270" s="17" t="n">
        <v>2</v>
      </c>
      <c r="L270" s="14" t="s">
        <v>67</v>
      </c>
      <c r="M270" s="14" t="s">
        <v>1000</v>
      </c>
      <c r="N270" s="14" t="s">
        <v>389</v>
      </c>
      <c r="O270" s="14" t="s">
        <v>554</v>
      </c>
      <c r="P270" s="14" t="s">
        <v>90</v>
      </c>
      <c r="Q270" s="16" t="s">
        <v>390</v>
      </c>
    </row>
    <row r="271" customFormat="false" ht="32.8" hidden="false" customHeight="false" outlineLevel="0" collapsed="false">
      <c r="A271" s="14" t="n">
        <v>270</v>
      </c>
      <c r="B271" s="14" t="s">
        <v>1001</v>
      </c>
      <c r="C271" s="14" t="s">
        <v>1002</v>
      </c>
      <c r="D271" s="14" t="s">
        <v>8</v>
      </c>
      <c r="E271" s="14" t="s">
        <v>1003</v>
      </c>
      <c r="F271" s="14" t="s">
        <v>135</v>
      </c>
      <c r="G271" s="14" t="s">
        <v>63</v>
      </c>
      <c r="H271" s="14" t="s">
        <v>385</v>
      </c>
      <c r="I271" s="14" t="s">
        <v>386</v>
      </c>
      <c r="J271" s="14" t="s">
        <v>387</v>
      </c>
      <c r="K271" s="17" t="n">
        <v>2</v>
      </c>
      <c r="L271" s="14" t="s">
        <v>67</v>
      </c>
      <c r="M271" s="14" t="s">
        <v>68</v>
      </c>
      <c r="N271" s="14" t="s">
        <v>389</v>
      </c>
      <c r="O271" s="14"/>
      <c r="P271" s="14" t="s">
        <v>71</v>
      </c>
      <c r="Q271" s="14" t="s">
        <v>72</v>
      </c>
    </row>
    <row r="272" customFormat="false" ht="32.8" hidden="false" customHeight="false" outlineLevel="0" collapsed="false">
      <c r="A272" s="14" t="n">
        <v>271</v>
      </c>
      <c r="B272" s="14" t="s">
        <v>1004</v>
      </c>
      <c r="C272" s="14"/>
      <c r="D272" s="14" t="s">
        <v>8</v>
      </c>
      <c r="E272" s="14" t="s">
        <v>954</v>
      </c>
      <c r="F272" s="14" t="s">
        <v>135</v>
      </c>
      <c r="G272" s="14" t="s">
        <v>63</v>
      </c>
      <c r="H272" s="14" t="s">
        <v>385</v>
      </c>
      <c r="I272" s="14" t="s">
        <v>386</v>
      </c>
      <c r="J272" s="14" t="s">
        <v>387</v>
      </c>
      <c r="K272" s="17" t="n">
        <v>2</v>
      </c>
      <c r="L272" s="14" t="s">
        <v>67</v>
      </c>
      <c r="M272" s="14" t="s">
        <v>1005</v>
      </c>
      <c r="N272" s="14" t="s">
        <v>389</v>
      </c>
      <c r="O272" s="14" t="s">
        <v>956</v>
      </c>
      <c r="P272" s="14" t="s">
        <v>90</v>
      </c>
      <c r="Q272" s="16" t="s">
        <v>959</v>
      </c>
    </row>
    <row r="273" customFormat="false" ht="32.8" hidden="false" customHeight="false" outlineLevel="0" collapsed="false">
      <c r="A273" s="14" t="n">
        <v>272</v>
      </c>
      <c r="B273" s="14" t="s">
        <v>1006</v>
      </c>
      <c r="C273" s="14"/>
      <c r="D273" s="14" t="s">
        <v>8</v>
      </c>
      <c r="E273" s="14" t="s">
        <v>954</v>
      </c>
      <c r="F273" s="14" t="s">
        <v>135</v>
      </c>
      <c r="G273" s="14" t="s">
        <v>63</v>
      </c>
      <c r="H273" s="14" t="s">
        <v>385</v>
      </c>
      <c r="I273" s="14" t="s">
        <v>386</v>
      </c>
      <c r="J273" s="14" t="s">
        <v>387</v>
      </c>
      <c r="K273" s="17" t="n">
        <v>2</v>
      </c>
      <c r="L273" s="14" t="s">
        <v>67</v>
      </c>
      <c r="M273" s="14" t="s">
        <v>1007</v>
      </c>
      <c r="N273" s="14" t="s">
        <v>389</v>
      </c>
      <c r="O273" s="14" t="s">
        <v>956</v>
      </c>
      <c r="P273" s="14" t="s">
        <v>90</v>
      </c>
      <c r="Q273" s="16" t="s">
        <v>959</v>
      </c>
    </row>
    <row r="274" customFormat="false" ht="32.8" hidden="false" customHeight="false" outlineLevel="0" collapsed="false">
      <c r="A274" s="14" t="n">
        <v>273</v>
      </c>
      <c r="B274" s="14" t="s">
        <v>1008</v>
      </c>
      <c r="C274" s="14"/>
      <c r="D274" s="14" t="s">
        <v>8</v>
      </c>
      <c r="E274" s="14" t="s">
        <v>954</v>
      </c>
      <c r="F274" s="14" t="s">
        <v>135</v>
      </c>
      <c r="G274" s="14" t="s">
        <v>63</v>
      </c>
      <c r="H274" s="14" t="s">
        <v>385</v>
      </c>
      <c r="I274" s="14" t="s">
        <v>386</v>
      </c>
      <c r="J274" s="14" t="s">
        <v>387</v>
      </c>
      <c r="K274" s="17" t="n">
        <v>2</v>
      </c>
      <c r="L274" s="14" t="s">
        <v>67</v>
      </c>
      <c r="M274" s="14" t="s">
        <v>1009</v>
      </c>
      <c r="N274" s="14" t="s">
        <v>389</v>
      </c>
      <c r="O274" s="14" t="s">
        <v>956</v>
      </c>
      <c r="P274" s="14" t="s">
        <v>90</v>
      </c>
      <c r="Q274" s="16" t="s">
        <v>959</v>
      </c>
    </row>
    <row r="275" customFormat="false" ht="32.8" hidden="false" customHeight="false" outlineLevel="0" collapsed="false">
      <c r="A275" s="14" t="n">
        <v>274</v>
      </c>
      <c r="B275" s="14" t="s">
        <v>1010</v>
      </c>
      <c r="C275" s="14"/>
      <c r="D275" s="14" t="s">
        <v>8</v>
      </c>
      <c r="E275" s="14" t="s">
        <v>384</v>
      </c>
      <c r="F275" s="14" t="s">
        <v>62</v>
      </c>
      <c r="G275" s="14" t="s">
        <v>63</v>
      </c>
      <c r="H275" s="14" t="s">
        <v>385</v>
      </c>
      <c r="I275" s="14" t="s">
        <v>386</v>
      </c>
      <c r="J275" s="14" t="s">
        <v>387</v>
      </c>
      <c r="K275" s="17" t="n">
        <v>2</v>
      </c>
      <c r="L275" s="14" t="s">
        <v>67</v>
      </c>
      <c r="M275" s="14" t="s">
        <v>1011</v>
      </c>
      <c r="N275" s="14" t="s">
        <v>389</v>
      </c>
      <c r="O275" s="14"/>
      <c r="P275" s="14" t="s">
        <v>90</v>
      </c>
      <c r="Q275" s="16" t="s">
        <v>959</v>
      </c>
    </row>
    <row r="276" customFormat="false" ht="32.8" hidden="false" customHeight="false" outlineLevel="0" collapsed="false">
      <c r="A276" s="14" t="n">
        <v>275</v>
      </c>
      <c r="B276" s="14" t="s">
        <v>1012</v>
      </c>
      <c r="C276" s="14" t="s">
        <v>1013</v>
      </c>
      <c r="D276" s="14" t="s">
        <v>8</v>
      </c>
      <c r="E276" s="14" t="s">
        <v>384</v>
      </c>
      <c r="F276" s="14" t="s">
        <v>215</v>
      </c>
      <c r="G276" s="14" t="s">
        <v>77</v>
      </c>
      <c r="H276" s="14" t="s">
        <v>385</v>
      </c>
      <c r="I276" s="14" t="s">
        <v>386</v>
      </c>
      <c r="J276" s="14" t="s">
        <v>387</v>
      </c>
      <c r="K276" s="17" t="n">
        <v>2</v>
      </c>
      <c r="L276" s="14" t="s">
        <v>67</v>
      </c>
      <c r="M276" s="14" t="s">
        <v>1014</v>
      </c>
      <c r="N276" s="14" t="s">
        <v>389</v>
      </c>
      <c r="O276" s="14" t="s">
        <v>1015</v>
      </c>
      <c r="P276" s="14" t="s">
        <v>90</v>
      </c>
      <c r="Q276" s="16" t="s">
        <v>959</v>
      </c>
    </row>
    <row r="277" customFormat="false" ht="32.8" hidden="false" customHeight="false" outlineLevel="0" collapsed="false">
      <c r="A277" s="14" t="n">
        <v>276</v>
      </c>
      <c r="B277" s="14" t="s">
        <v>1016</v>
      </c>
      <c r="C277" s="14"/>
      <c r="D277" s="14" t="s">
        <v>8</v>
      </c>
      <c r="E277" s="14" t="s">
        <v>984</v>
      </c>
      <c r="F277" s="14" t="s">
        <v>215</v>
      </c>
      <c r="G277" s="14" t="s">
        <v>77</v>
      </c>
      <c r="H277" s="14" t="s">
        <v>385</v>
      </c>
      <c r="I277" s="14" t="s">
        <v>386</v>
      </c>
      <c r="J277" s="14" t="s">
        <v>387</v>
      </c>
      <c r="K277" s="17" t="n">
        <v>2</v>
      </c>
      <c r="L277" s="14" t="s">
        <v>67</v>
      </c>
      <c r="M277" s="14" t="s">
        <v>1017</v>
      </c>
      <c r="N277" s="14" t="s">
        <v>389</v>
      </c>
      <c r="O277" s="14"/>
      <c r="P277" s="14" t="s">
        <v>90</v>
      </c>
      <c r="Q277" s="16" t="s">
        <v>959</v>
      </c>
    </row>
    <row r="278" customFormat="false" ht="32.8" hidden="false" customHeight="false" outlineLevel="0" collapsed="false">
      <c r="A278" s="14" t="n">
        <v>277</v>
      </c>
      <c r="B278" s="14" t="s">
        <v>1018</v>
      </c>
      <c r="C278" s="14" t="s">
        <v>892</v>
      </c>
      <c r="D278" s="14" t="s">
        <v>8</v>
      </c>
      <c r="E278" s="14" t="s">
        <v>384</v>
      </c>
      <c r="F278" s="14" t="s">
        <v>550</v>
      </c>
      <c r="G278" s="14" t="s">
        <v>77</v>
      </c>
      <c r="H278" s="14" t="s">
        <v>385</v>
      </c>
      <c r="I278" s="14" t="s">
        <v>386</v>
      </c>
      <c r="J278" s="14" t="s">
        <v>387</v>
      </c>
      <c r="K278" s="17" t="n">
        <v>2</v>
      </c>
      <c r="L278" s="14" t="s">
        <v>67</v>
      </c>
      <c r="M278" s="14" t="s">
        <v>68</v>
      </c>
      <c r="N278" s="14" t="s">
        <v>389</v>
      </c>
      <c r="O278" s="14" t="s">
        <v>893</v>
      </c>
      <c r="P278" s="14" t="s">
        <v>71</v>
      </c>
      <c r="Q278" s="14" t="s">
        <v>72</v>
      </c>
    </row>
    <row r="279" customFormat="false" ht="32.8" hidden="false" customHeight="false" outlineLevel="0" collapsed="false">
      <c r="A279" s="14" t="n">
        <v>278</v>
      </c>
      <c r="B279" s="14" t="s">
        <v>1019</v>
      </c>
      <c r="C279" s="14" t="s">
        <v>892</v>
      </c>
      <c r="D279" s="14" t="s">
        <v>8</v>
      </c>
      <c r="E279" s="14" t="s">
        <v>436</v>
      </c>
      <c r="F279" s="14" t="s">
        <v>215</v>
      </c>
      <c r="G279" s="14" t="s">
        <v>77</v>
      </c>
      <c r="H279" s="14" t="s">
        <v>385</v>
      </c>
      <c r="I279" s="14" t="s">
        <v>386</v>
      </c>
      <c r="J279" s="14" t="s">
        <v>387</v>
      </c>
      <c r="K279" s="17" t="n">
        <v>2</v>
      </c>
      <c r="L279" s="14" t="s">
        <v>67</v>
      </c>
      <c r="M279" s="14" t="s">
        <v>68</v>
      </c>
      <c r="N279" s="14" t="s">
        <v>389</v>
      </c>
      <c r="O279" s="14" t="s">
        <v>893</v>
      </c>
      <c r="P279" s="14" t="s">
        <v>71</v>
      </c>
      <c r="Q279" s="14" t="s">
        <v>72</v>
      </c>
    </row>
    <row r="280" customFormat="false" ht="32.8" hidden="false" customHeight="false" outlineLevel="0" collapsed="false">
      <c r="A280" s="14" t="n">
        <v>279</v>
      </c>
      <c r="B280" s="14" t="s">
        <v>1020</v>
      </c>
      <c r="C280" s="14" t="s">
        <v>465</v>
      </c>
      <c r="D280" s="14" t="s">
        <v>8</v>
      </c>
      <c r="E280" s="14" t="s">
        <v>398</v>
      </c>
      <c r="F280" s="14" t="s">
        <v>1021</v>
      </c>
      <c r="G280" s="14" t="s">
        <v>63</v>
      </c>
      <c r="H280" s="14" t="s">
        <v>385</v>
      </c>
      <c r="I280" s="14" t="s">
        <v>386</v>
      </c>
      <c r="J280" s="14" t="s">
        <v>387</v>
      </c>
      <c r="K280" s="17" t="n">
        <v>2</v>
      </c>
      <c r="L280" s="14" t="s">
        <v>67</v>
      </c>
      <c r="M280" s="14" t="s">
        <v>68</v>
      </c>
      <c r="N280" s="14" t="s">
        <v>389</v>
      </c>
      <c r="O280" s="14" t="s">
        <v>466</v>
      </c>
      <c r="P280" s="14" t="s">
        <v>71</v>
      </c>
      <c r="Q280" s="14" t="s">
        <v>72</v>
      </c>
    </row>
    <row r="281" customFormat="false" ht="32.8" hidden="false" customHeight="false" outlineLevel="0" collapsed="false">
      <c r="A281" s="14" t="n">
        <v>280</v>
      </c>
      <c r="B281" s="14" t="s">
        <v>1022</v>
      </c>
      <c r="C281" s="14" t="s">
        <v>987</v>
      </c>
      <c r="D281" s="14" t="s">
        <v>8</v>
      </c>
      <c r="E281" s="14" t="s">
        <v>1023</v>
      </c>
      <c r="F281" s="14" t="s">
        <v>62</v>
      </c>
      <c r="G281" s="14" t="s">
        <v>63</v>
      </c>
      <c r="H281" s="14" t="s">
        <v>385</v>
      </c>
      <c r="I281" s="14" t="s">
        <v>386</v>
      </c>
      <c r="J281" s="14" t="s">
        <v>387</v>
      </c>
      <c r="K281" s="17" t="n">
        <v>2</v>
      </c>
      <c r="L281" s="14" t="s">
        <v>67</v>
      </c>
      <c r="M281" s="14" t="s">
        <v>68</v>
      </c>
      <c r="N281" s="14" t="s">
        <v>389</v>
      </c>
      <c r="O281" s="14"/>
      <c r="P281" s="14" t="s">
        <v>71</v>
      </c>
      <c r="Q281" s="14" t="s">
        <v>72</v>
      </c>
    </row>
    <row r="282" customFormat="false" ht="32.8" hidden="false" customHeight="false" outlineLevel="0" collapsed="false">
      <c r="A282" s="14" t="n">
        <v>281</v>
      </c>
      <c r="B282" s="14" t="s">
        <v>1024</v>
      </c>
      <c r="C282" s="14" t="s">
        <v>577</v>
      </c>
      <c r="D282" s="14" t="s">
        <v>8</v>
      </c>
      <c r="E282" s="14" t="s">
        <v>1023</v>
      </c>
      <c r="F282" s="14" t="s">
        <v>579</v>
      </c>
      <c r="G282" s="14" t="s">
        <v>63</v>
      </c>
      <c r="H282" s="14" t="s">
        <v>385</v>
      </c>
      <c r="I282" s="14" t="s">
        <v>386</v>
      </c>
      <c r="J282" s="14" t="s">
        <v>387</v>
      </c>
      <c r="K282" s="17" t="n">
        <v>2</v>
      </c>
      <c r="L282" s="14" t="s">
        <v>67</v>
      </c>
      <c r="M282" s="14" t="s">
        <v>68</v>
      </c>
      <c r="N282" s="14" t="s">
        <v>389</v>
      </c>
      <c r="O282" s="14" t="s">
        <v>580</v>
      </c>
      <c r="P282" s="14" t="s">
        <v>71</v>
      </c>
      <c r="Q282" s="14" t="s">
        <v>72</v>
      </c>
    </row>
    <row r="283" customFormat="false" ht="32.8" hidden="false" customHeight="false" outlineLevel="0" collapsed="false">
      <c r="A283" s="14" t="n">
        <v>282</v>
      </c>
      <c r="B283" s="14" t="s">
        <v>1025</v>
      </c>
      <c r="C283" s="14" t="s">
        <v>849</v>
      </c>
      <c r="D283" s="14" t="s">
        <v>8</v>
      </c>
      <c r="E283" s="14" t="s">
        <v>971</v>
      </c>
      <c r="F283" s="14" t="s">
        <v>520</v>
      </c>
      <c r="G283" s="14" t="s">
        <v>493</v>
      </c>
      <c r="H283" s="14" t="s">
        <v>385</v>
      </c>
      <c r="I283" s="14" t="s">
        <v>386</v>
      </c>
      <c r="J283" s="14" t="s">
        <v>387</v>
      </c>
      <c r="K283" s="17" t="n">
        <v>2</v>
      </c>
      <c r="L283" s="14" t="s">
        <v>67</v>
      </c>
      <c r="M283" s="14" t="s">
        <v>68</v>
      </c>
      <c r="N283" s="14" t="s">
        <v>389</v>
      </c>
      <c r="O283" s="14"/>
      <c r="P283" s="14" t="s">
        <v>71</v>
      </c>
      <c r="Q283" s="14" t="s">
        <v>72</v>
      </c>
    </row>
    <row r="284" customFormat="false" ht="32.8" hidden="false" customHeight="false" outlineLevel="0" collapsed="false">
      <c r="A284" s="14" t="n">
        <v>283</v>
      </c>
      <c r="B284" s="14" t="s">
        <v>1026</v>
      </c>
      <c r="C284" s="14" t="s">
        <v>851</v>
      </c>
      <c r="D284" s="14" t="s">
        <v>8</v>
      </c>
      <c r="E284" s="14" t="s">
        <v>1027</v>
      </c>
      <c r="F284" s="14" t="s">
        <v>62</v>
      </c>
      <c r="G284" s="14" t="s">
        <v>63</v>
      </c>
      <c r="H284" s="14" t="s">
        <v>385</v>
      </c>
      <c r="I284" s="14" t="s">
        <v>386</v>
      </c>
      <c r="J284" s="14" t="s">
        <v>387</v>
      </c>
      <c r="K284" s="17" t="n">
        <v>2</v>
      </c>
      <c r="L284" s="14" t="s">
        <v>67</v>
      </c>
      <c r="M284" s="14" t="s">
        <v>68</v>
      </c>
      <c r="N284" s="14" t="s">
        <v>389</v>
      </c>
      <c r="O284" s="14" t="s">
        <v>853</v>
      </c>
      <c r="P284" s="14" t="s">
        <v>71</v>
      </c>
      <c r="Q284" s="14" t="s">
        <v>72</v>
      </c>
    </row>
    <row r="285" customFormat="false" ht="32.8" hidden="false" customHeight="false" outlineLevel="0" collapsed="false">
      <c r="A285" s="14" t="n">
        <v>284</v>
      </c>
      <c r="B285" s="14" t="s">
        <v>1028</v>
      </c>
      <c r="C285" s="14" t="s">
        <v>851</v>
      </c>
      <c r="D285" s="14" t="s">
        <v>8</v>
      </c>
      <c r="E285" s="14" t="s">
        <v>1029</v>
      </c>
      <c r="F285" s="14" t="s">
        <v>62</v>
      </c>
      <c r="G285" s="14" t="s">
        <v>63</v>
      </c>
      <c r="H285" s="14" t="s">
        <v>385</v>
      </c>
      <c r="I285" s="14" t="s">
        <v>386</v>
      </c>
      <c r="J285" s="14" t="s">
        <v>387</v>
      </c>
      <c r="K285" s="17" t="n">
        <v>2</v>
      </c>
      <c r="L285" s="14" t="s">
        <v>67</v>
      </c>
      <c r="M285" s="14" t="s">
        <v>1030</v>
      </c>
      <c r="N285" s="14" t="s">
        <v>389</v>
      </c>
      <c r="O285" s="14" t="s">
        <v>853</v>
      </c>
      <c r="P285" s="14" t="s">
        <v>90</v>
      </c>
      <c r="Q285" s="16" t="s">
        <v>959</v>
      </c>
    </row>
    <row r="286" customFormat="false" ht="32.8" hidden="false" customHeight="false" outlineLevel="0" collapsed="false">
      <c r="A286" s="14" t="n">
        <v>285</v>
      </c>
      <c r="B286" s="14" t="s">
        <v>1031</v>
      </c>
      <c r="C286" s="14"/>
      <c r="D286" s="14" t="s">
        <v>8</v>
      </c>
      <c r="E286" s="14" t="s">
        <v>954</v>
      </c>
      <c r="F286" s="14" t="s">
        <v>62</v>
      </c>
      <c r="G286" s="14" t="s">
        <v>63</v>
      </c>
      <c r="H286" s="14" t="s">
        <v>385</v>
      </c>
      <c r="I286" s="14" t="s">
        <v>386</v>
      </c>
      <c r="J286" s="14" t="s">
        <v>387</v>
      </c>
      <c r="K286" s="17" t="n">
        <v>2</v>
      </c>
      <c r="L286" s="14" t="s">
        <v>67</v>
      </c>
      <c r="M286" s="14" t="s">
        <v>1032</v>
      </c>
      <c r="N286" s="14" t="s">
        <v>389</v>
      </c>
      <c r="O286" s="14" t="s">
        <v>956</v>
      </c>
      <c r="P286" s="14" t="s">
        <v>90</v>
      </c>
      <c r="Q286" s="16" t="s">
        <v>959</v>
      </c>
    </row>
    <row r="287" customFormat="false" ht="32.8" hidden="false" customHeight="false" outlineLevel="0" collapsed="false">
      <c r="A287" s="14" t="n">
        <v>286</v>
      </c>
      <c r="B287" s="14" t="s">
        <v>1033</v>
      </c>
      <c r="C287" s="14"/>
      <c r="D287" s="14" t="s">
        <v>8</v>
      </c>
      <c r="E287" s="14" t="s">
        <v>1034</v>
      </c>
      <c r="F287" s="14" t="s">
        <v>62</v>
      </c>
      <c r="G287" s="14" t="s">
        <v>63</v>
      </c>
      <c r="H287" s="14" t="s">
        <v>385</v>
      </c>
      <c r="I287" s="14" t="s">
        <v>386</v>
      </c>
      <c r="J287" s="14" t="s">
        <v>387</v>
      </c>
      <c r="K287" s="17" t="n">
        <v>2</v>
      </c>
      <c r="L287" s="14" t="s">
        <v>67</v>
      </c>
      <c r="M287" s="14" t="s">
        <v>1035</v>
      </c>
      <c r="N287" s="14" t="s">
        <v>389</v>
      </c>
      <c r="O287" s="14" t="s">
        <v>956</v>
      </c>
      <c r="P287" s="14" t="s">
        <v>90</v>
      </c>
      <c r="Q287" s="16" t="s">
        <v>959</v>
      </c>
    </row>
    <row r="288" customFormat="false" ht="32.8" hidden="false" customHeight="false" outlineLevel="0" collapsed="false">
      <c r="A288" s="14" t="n">
        <v>287</v>
      </c>
      <c r="B288" s="14" t="s">
        <v>1036</v>
      </c>
      <c r="C288" s="14" t="s">
        <v>1037</v>
      </c>
      <c r="D288" s="14" t="s">
        <v>8</v>
      </c>
      <c r="E288" s="14" t="s">
        <v>971</v>
      </c>
      <c r="F288" s="14" t="s">
        <v>1038</v>
      </c>
      <c r="G288" s="14" t="s">
        <v>77</v>
      </c>
      <c r="H288" s="14" t="s">
        <v>385</v>
      </c>
      <c r="I288" s="14" t="s">
        <v>386</v>
      </c>
      <c r="J288" s="14" t="s">
        <v>387</v>
      </c>
      <c r="K288" s="17" t="n">
        <v>2</v>
      </c>
      <c r="L288" s="14" t="s">
        <v>67</v>
      </c>
      <c r="M288" s="14" t="s">
        <v>68</v>
      </c>
      <c r="N288" s="14" t="s">
        <v>389</v>
      </c>
      <c r="O288" s="14"/>
      <c r="P288" s="14" t="s">
        <v>71</v>
      </c>
      <c r="Q288" s="14" t="s">
        <v>72</v>
      </c>
    </row>
    <row r="289" customFormat="false" ht="32.8" hidden="false" customHeight="false" outlineLevel="0" collapsed="false">
      <c r="A289" s="14" t="n">
        <v>288</v>
      </c>
      <c r="B289" s="14" t="s">
        <v>1039</v>
      </c>
      <c r="C289" s="14" t="s">
        <v>444</v>
      </c>
      <c r="D289" s="14" t="s">
        <v>8</v>
      </c>
      <c r="E289" s="14" t="s">
        <v>1040</v>
      </c>
      <c r="F289" s="14" t="s">
        <v>62</v>
      </c>
      <c r="G289" s="14" t="s">
        <v>63</v>
      </c>
      <c r="H289" s="14" t="s">
        <v>385</v>
      </c>
      <c r="I289" s="14" t="s">
        <v>386</v>
      </c>
      <c r="J289" s="14" t="s">
        <v>387</v>
      </c>
      <c r="K289" s="17" t="n">
        <v>2</v>
      </c>
      <c r="L289" s="14" t="s">
        <v>67</v>
      </c>
      <c r="M289" s="14" t="s">
        <v>1041</v>
      </c>
      <c r="N289" s="14" t="s">
        <v>389</v>
      </c>
      <c r="O289" s="14" t="s">
        <v>1042</v>
      </c>
      <c r="P289" s="14" t="s">
        <v>90</v>
      </c>
      <c r="Q289" s="16" t="s">
        <v>1043</v>
      </c>
    </row>
    <row r="290" customFormat="false" ht="32.8" hidden="false" customHeight="false" outlineLevel="0" collapsed="false">
      <c r="A290" s="14" t="n">
        <v>289</v>
      </c>
      <c r="B290" s="14" t="s">
        <v>1044</v>
      </c>
      <c r="C290" s="14" t="s">
        <v>1045</v>
      </c>
      <c r="D290" s="14" t="s">
        <v>8</v>
      </c>
      <c r="E290" s="14" t="s">
        <v>1046</v>
      </c>
      <c r="F290" s="14" t="s">
        <v>135</v>
      </c>
      <c r="G290" s="14" t="s">
        <v>63</v>
      </c>
      <c r="H290" s="14" t="s">
        <v>385</v>
      </c>
      <c r="I290" s="14" t="s">
        <v>386</v>
      </c>
      <c r="J290" s="14" t="s">
        <v>387</v>
      </c>
      <c r="K290" s="17" t="n">
        <v>2</v>
      </c>
      <c r="L290" s="14" t="s">
        <v>67</v>
      </c>
      <c r="M290" s="14" t="s">
        <v>68</v>
      </c>
      <c r="N290" s="14" t="s">
        <v>389</v>
      </c>
      <c r="O290" s="14"/>
      <c r="P290" s="14" t="s">
        <v>71</v>
      </c>
      <c r="Q290" s="14" t="s">
        <v>72</v>
      </c>
    </row>
    <row r="291" customFormat="false" ht="32.8" hidden="false" customHeight="false" outlineLevel="0" collapsed="false">
      <c r="A291" s="14" t="n">
        <v>290</v>
      </c>
      <c r="B291" s="14" t="s">
        <v>1047</v>
      </c>
      <c r="C291" s="14"/>
      <c r="D291" s="14" t="s">
        <v>8</v>
      </c>
      <c r="E291" s="14" t="s">
        <v>1048</v>
      </c>
      <c r="F291" s="14" t="s">
        <v>62</v>
      </c>
      <c r="G291" s="14" t="s">
        <v>63</v>
      </c>
      <c r="H291" s="14" t="s">
        <v>385</v>
      </c>
      <c r="I291" s="14" t="s">
        <v>386</v>
      </c>
      <c r="J291" s="14" t="s">
        <v>387</v>
      </c>
      <c r="K291" s="17" t="n">
        <v>2</v>
      </c>
      <c r="L291" s="14" t="s">
        <v>67</v>
      </c>
      <c r="M291" s="14" t="s">
        <v>1049</v>
      </c>
      <c r="N291" s="14" t="s">
        <v>389</v>
      </c>
      <c r="O291" s="14"/>
      <c r="P291" s="14" t="s">
        <v>90</v>
      </c>
      <c r="Q291" s="16" t="s">
        <v>1050</v>
      </c>
    </row>
    <row r="292" customFormat="false" ht="22.35" hidden="false" customHeight="false" outlineLevel="0" collapsed="false">
      <c r="A292" s="14" t="n">
        <v>291</v>
      </c>
      <c r="B292" s="14" t="s">
        <v>1051</v>
      </c>
      <c r="C292" s="14" t="s">
        <v>145</v>
      </c>
      <c r="D292" s="14" t="s">
        <v>37</v>
      </c>
      <c r="E292" s="14" t="s">
        <v>1052</v>
      </c>
      <c r="F292" s="14" t="s">
        <v>1053</v>
      </c>
      <c r="G292" s="14" t="s">
        <v>63</v>
      </c>
      <c r="H292" s="14" t="s">
        <v>1054</v>
      </c>
      <c r="I292" s="14" t="s">
        <v>1055</v>
      </c>
      <c r="J292" s="14" t="s">
        <v>1056</v>
      </c>
      <c r="K292" s="18" t="n">
        <v>3</v>
      </c>
      <c r="L292" s="14" t="s">
        <v>67</v>
      </c>
      <c r="M292" s="14" t="s">
        <v>68</v>
      </c>
      <c r="N292" s="14" t="s">
        <v>389</v>
      </c>
      <c r="O292" s="14" t="s">
        <v>1057</v>
      </c>
      <c r="P292" s="14" t="s">
        <v>71</v>
      </c>
      <c r="Q292" s="14" t="s">
        <v>72</v>
      </c>
    </row>
    <row r="293" customFormat="false" ht="22.35" hidden="false" customHeight="false" outlineLevel="0" collapsed="false">
      <c r="A293" s="14" t="n">
        <v>292</v>
      </c>
      <c r="B293" s="14" t="s">
        <v>1058</v>
      </c>
      <c r="C293" s="14" t="s">
        <v>145</v>
      </c>
      <c r="D293" s="14" t="s">
        <v>37</v>
      </c>
      <c r="E293" s="14" t="s">
        <v>1052</v>
      </c>
      <c r="F293" s="14" t="s">
        <v>1053</v>
      </c>
      <c r="G293" s="14" t="s">
        <v>63</v>
      </c>
      <c r="H293" s="14" t="s">
        <v>1054</v>
      </c>
      <c r="I293" s="14" t="s">
        <v>1055</v>
      </c>
      <c r="J293" s="14" t="s">
        <v>1056</v>
      </c>
      <c r="K293" s="18" t="n">
        <v>3</v>
      </c>
      <c r="L293" s="14" t="s">
        <v>67</v>
      </c>
      <c r="M293" s="14" t="s">
        <v>68</v>
      </c>
      <c r="N293" s="14" t="s">
        <v>389</v>
      </c>
      <c r="O293" s="14"/>
      <c r="P293" s="14" t="s">
        <v>71</v>
      </c>
      <c r="Q293" s="14" t="s">
        <v>72</v>
      </c>
    </row>
    <row r="294" customFormat="false" ht="22.35" hidden="false" customHeight="false" outlineLevel="0" collapsed="false">
      <c r="A294" s="14" t="n">
        <v>293</v>
      </c>
      <c r="B294" s="14" t="s">
        <v>1059</v>
      </c>
      <c r="C294" s="14" t="s">
        <v>145</v>
      </c>
      <c r="D294" s="14" t="s">
        <v>37</v>
      </c>
      <c r="E294" s="14" t="s">
        <v>1060</v>
      </c>
      <c r="F294" s="14" t="s">
        <v>1061</v>
      </c>
      <c r="G294" s="14" t="s">
        <v>63</v>
      </c>
      <c r="H294" s="14" t="s">
        <v>1054</v>
      </c>
      <c r="I294" s="14" t="s">
        <v>1055</v>
      </c>
      <c r="J294" s="14" t="s">
        <v>1056</v>
      </c>
      <c r="K294" s="18" t="n">
        <v>3</v>
      </c>
      <c r="L294" s="14" t="s">
        <v>67</v>
      </c>
      <c r="M294" s="14" t="s">
        <v>68</v>
      </c>
      <c r="N294" s="14" t="s">
        <v>389</v>
      </c>
      <c r="O294" s="14" t="s">
        <v>1057</v>
      </c>
      <c r="P294" s="14" t="s">
        <v>71</v>
      </c>
      <c r="Q294" s="14" t="s">
        <v>72</v>
      </c>
    </row>
    <row r="295" customFormat="false" ht="22.35" hidden="false" customHeight="false" outlineLevel="0" collapsed="false">
      <c r="A295" s="14" t="n">
        <v>294</v>
      </c>
      <c r="B295" s="14" t="s">
        <v>1062</v>
      </c>
      <c r="C295" s="14" t="s">
        <v>145</v>
      </c>
      <c r="D295" s="14" t="s">
        <v>37</v>
      </c>
      <c r="E295" s="14" t="s">
        <v>1063</v>
      </c>
      <c r="F295" s="14" t="s">
        <v>559</v>
      </c>
      <c r="G295" s="14" t="s">
        <v>63</v>
      </c>
      <c r="H295" s="14" t="s">
        <v>1054</v>
      </c>
      <c r="I295" s="14" t="s">
        <v>1055</v>
      </c>
      <c r="J295" s="14" t="s">
        <v>1056</v>
      </c>
      <c r="K295" s="18" t="n">
        <v>3</v>
      </c>
      <c r="L295" s="14" t="s">
        <v>67</v>
      </c>
      <c r="M295" s="14" t="s">
        <v>68</v>
      </c>
      <c r="N295" s="14" t="s">
        <v>389</v>
      </c>
      <c r="O295" s="14" t="s">
        <v>1057</v>
      </c>
      <c r="P295" s="14" t="s">
        <v>71</v>
      </c>
      <c r="Q295" s="14" t="s">
        <v>72</v>
      </c>
    </row>
    <row r="296" customFormat="false" ht="22.35" hidden="false" customHeight="false" outlineLevel="0" collapsed="false">
      <c r="A296" s="14" t="n">
        <v>295</v>
      </c>
      <c r="B296" s="14" t="s">
        <v>1064</v>
      </c>
      <c r="C296" s="14" t="s">
        <v>1065</v>
      </c>
      <c r="D296" s="14" t="s">
        <v>32</v>
      </c>
      <c r="E296" s="14" t="s">
        <v>1066</v>
      </c>
      <c r="F296" s="14" t="s">
        <v>1067</v>
      </c>
      <c r="G296" s="14" t="s">
        <v>77</v>
      </c>
      <c r="H296" s="14" t="s">
        <v>1068</v>
      </c>
      <c r="I296" s="14" t="s">
        <v>1055</v>
      </c>
      <c r="J296" s="14" t="s">
        <v>1069</v>
      </c>
      <c r="K296" s="18" t="n">
        <v>3</v>
      </c>
      <c r="L296" s="14" t="s">
        <v>67</v>
      </c>
      <c r="M296" s="14" t="s">
        <v>68</v>
      </c>
      <c r="N296" s="14" t="s">
        <v>389</v>
      </c>
      <c r="O296" s="14"/>
      <c r="P296" s="14" t="s">
        <v>71</v>
      </c>
      <c r="Q296" s="14" t="s">
        <v>72</v>
      </c>
    </row>
    <row r="297" customFormat="false" ht="22.35" hidden="false" customHeight="false" outlineLevel="0" collapsed="false">
      <c r="A297" s="14" t="n">
        <v>296</v>
      </c>
      <c r="B297" s="14" t="s">
        <v>1070</v>
      </c>
      <c r="C297" s="14" t="s">
        <v>1071</v>
      </c>
      <c r="D297" s="14" t="s">
        <v>32</v>
      </c>
      <c r="E297" s="14" t="s">
        <v>1072</v>
      </c>
      <c r="F297" s="14" t="s">
        <v>62</v>
      </c>
      <c r="G297" s="14" t="s">
        <v>63</v>
      </c>
      <c r="H297" s="14" t="s">
        <v>1068</v>
      </c>
      <c r="I297" s="14" t="s">
        <v>1055</v>
      </c>
      <c r="J297" s="14" t="s">
        <v>1069</v>
      </c>
      <c r="K297" s="18" t="n">
        <v>3</v>
      </c>
      <c r="L297" s="14" t="s">
        <v>67</v>
      </c>
      <c r="M297" s="14" t="s">
        <v>68</v>
      </c>
      <c r="N297" s="14" t="s">
        <v>389</v>
      </c>
      <c r="O297" s="14"/>
      <c r="P297" s="14" t="s">
        <v>71</v>
      </c>
      <c r="Q297" s="14" t="s">
        <v>72</v>
      </c>
    </row>
    <row r="298" customFormat="false" ht="22.35" hidden="false" customHeight="false" outlineLevel="0" collapsed="false">
      <c r="A298" s="14" t="n">
        <v>297</v>
      </c>
      <c r="B298" s="14" t="s">
        <v>1073</v>
      </c>
      <c r="C298" s="14" t="s">
        <v>1074</v>
      </c>
      <c r="D298" s="14" t="s">
        <v>32</v>
      </c>
      <c r="E298" s="14" t="s">
        <v>1075</v>
      </c>
      <c r="F298" s="14" t="s">
        <v>62</v>
      </c>
      <c r="G298" s="14" t="s">
        <v>63</v>
      </c>
      <c r="H298" s="14" t="s">
        <v>1068</v>
      </c>
      <c r="I298" s="14" t="s">
        <v>1055</v>
      </c>
      <c r="J298" s="14" t="s">
        <v>1069</v>
      </c>
      <c r="K298" s="18" t="n">
        <v>3</v>
      </c>
      <c r="L298" s="14" t="s">
        <v>67</v>
      </c>
      <c r="M298" s="14" t="s">
        <v>68</v>
      </c>
      <c r="N298" s="14" t="s">
        <v>389</v>
      </c>
      <c r="O298" s="14"/>
      <c r="P298" s="14" t="s">
        <v>71</v>
      </c>
      <c r="Q298" s="14" t="s">
        <v>72</v>
      </c>
    </row>
    <row r="299" customFormat="false" ht="22.35" hidden="false" customHeight="false" outlineLevel="0" collapsed="false">
      <c r="A299" s="14" t="n">
        <v>298</v>
      </c>
      <c r="B299" s="14" t="s">
        <v>1076</v>
      </c>
      <c r="C299" s="14" t="s">
        <v>836</v>
      </c>
      <c r="D299" s="14" t="s">
        <v>32</v>
      </c>
      <c r="E299" s="14" t="s">
        <v>1075</v>
      </c>
      <c r="F299" s="14" t="s">
        <v>62</v>
      </c>
      <c r="G299" s="14" t="s">
        <v>63</v>
      </c>
      <c r="H299" s="14" t="s">
        <v>1068</v>
      </c>
      <c r="I299" s="14" t="s">
        <v>1055</v>
      </c>
      <c r="J299" s="14" t="s">
        <v>1069</v>
      </c>
      <c r="K299" s="18" t="n">
        <v>3</v>
      </c>
      <c r="L299" s="14" t="s">
        <v>67</v>
      </c>
      <c r="M299" s="14" t="s">
        <v>68</v>
      </c>
      <c r="N299" s="14" t="s">
        <v>389</v>
      </c>
      <c r="O299" s="14"/>
      <c r="P299" s="14" t="s">
        <v>71</v>
      </c>
      <c r="Q299" s="14" t="s">
        <v>72</v>
      </c>
    </row>
    <row r="300" customFormat="false" ht="22.35" hidden="false" customHeight="false" outlineLevel="0" collapsed="false">
      <c r="A300" s="14" t="n">
        <v>299</v>
      </c>
      <c r="B300" s="14" t="s">
        <v>1077</v>
      </c>
      <c r="C300" s="14" t="s">
        <v>820</v>
      </c>
      <c r="D300" s="14" t="s">
        <v>32</v>
      </c>
      <c r="E300" s="14" t="s">
        <v>1078</v>
      </c>
      <c r="F300" s="14" t="s">
        <v>62</v>
      </c>
      <c r="G300" s="14" t="s">
        <v>63</v>
      </c>
      <c r="H300" s="14" t="s">
        <v>1068</v>
      </c>
      <c r="I300" s="14" t="s">
        <v>1055</v>
      </c>
      <c r="J300" s="14" t="s">
        <v>1069</v>
      </c>
      <c r="K300" s="18" t="n">
        <v>3</v>
      </c>
      <c r="L300" s="14" t="s">
        <v>67</v>
      </c>
      <c r="M300" s="14" t="s">
        <v>68</v>
      </c>
      <c r="N300" s="14" t="s">
        <v>389</v>
      </c>
      <c r="O300" s="14"/>
      <c r="P300" s="14" t="s">
        <v>71</v>
      </c>
      <c r="Q300" s="14" t="s">
        <v>72</v>
      </c>
    </row>
  </sheetData>
  <autoFilter ref="A1:Q300"/>
  <hyperlinks>
    <hyperlink ref="Q4" r:id="rId1" display="https://e.ccement.com/news/content/67531448976165001.html"/>
    <hyperlink ref="Q6" r:id="rId2" display="https://e.ccement.com/news/content/67531448976165001.html"/>
    <hyperlink ref="Q7" r:id="rId3" display="https://e.ccement.com/news/content/67531448976165001.html"/>
    <hyperlink ref="Q10" r:id="rId4" display="https://e.ccement.com/news/content/67531448976165001.html"/>
    <hyperlink ref="Q11" r:id="rId5" display="https://epd.punjab.gov.pk/eia-reports"/>
    <hyperlink ref="Q13" r:id="rId6" display="https://epd.punjab.gov.pk/eia-reports"/>
    <hyperlink ref="Q19" r:id="rId7" display="https://epd.punjab.gov.pk/eia-reports"/>
    <hyperlink ref="Q20" r:id="rId8" display="https://epa.sindh.gov.pk/files/EPA-Sindh/EIA-IEE/EIA%20CCI%20Greenfield%20Karachi%20Report.pdf"/>
    <hyperlink ref="Q25" r:id="rId9" display="https://epd.punjab.gov.pk/eia-reports"/>
    <hyperlink ref="Q26" r:id="rId10" display="https://epd.punjab.gov.pk/system/files/2025%20253.pdf"/>
    <hyperlink ref="Q30" r:id="rId11" display="https://epd.punjab.gov.pk/eia-reports"/>
    <hyperlink ref="Q31" r:id="rId12" display="https://epd.punjab.gov.pk/eia-reports"/>
    <hyperlink ref="Q32" r:id="rId13" display="https://epd.punjab.gov.pk/eia-reports"/>
    <hyperlink ref="Q33" r:id="rId14" display="https://epd.punjab.gov.pk/eia-reports"/>
    <hyperlink ref="Q35" r:id="rId15" display="https://epd.punjab.gov.pk/eia-reports"/>
    <hyperlink ref="Q36" r:id="rId16" display="https://epd.punjab.gov.pk/eia-reports"/>
    <hyperlink ref="Q37" r:id="rId17" display="https://epd.punjab.gov.pk/eia-reports"/>
    <hyperlink ref="Q40" r:id="rId18" display="https://epd.punjab.gov.pk/eia-reports"/>
    <hyperlink ref="Q44" r:id="rId19" display="https://epd.punjab.gov.pk/system/files/2025%20304.pdf"/>
    <hyperlink ref="Q47" r:id="rId20" display="https://epd.punjab.gov.pk/eia-reports"/>
    <hyperlink ref="Q52" r:id="rId21" display="https://epd.punjab.gov.pk/eia-reports"/>
    <hyperlink ref="Q56" r:id="rId22" display="https://tickeranalysts.com/stocks/sector/textile-composite"/>
    <hyperlink ref="Q57" r:id="rId23" display="https://epd.punjab.gov.pk/system/files/105.%20Beacon%20Impex%20EIA%20for%20extension.pdf"/>
    <hyperlink ref="Q59" r:id="rId24" display="https://epd.punjab.gov.pk/eia-reports"/>
    <hyperlink ref="Q62" r:id="rId25" display="https://epd.punjab.gov.pk/system/files/2025%2059.pdf"/>
    <hyperlink ref="Q63" r:id="rId26" display="https://epd.punjab.gov.pk/system/files/2025%20225.pdf"/>
    <hyperlink ref="Q64" r:id="rId27" display="https://epd.punjab.gov.pk/system/files/2025%20312.pdf"/>
    <hyperlink ref="Q66" r:id="rId28" display="https://epd.punjab.gov.pk/system/files/20.%20EIA%20Report%20Tauseef%20Enterprises%2C%20Faisalabad.pdf"/>
    <hyperlink ref="Q92" r:id="rId29" display="https://tickeranalysts.com/stocks/sector/chemical"/>
    <hyperlink ref="Q97" r:id="rId30" display="https://tickeranalysts.com/stocks/sector/chemical"/>
    <hyperlink ref="Q100" r:id="rId31" display="https://tickeranalysts.com/stocks/sector/chemical"/>
    <hyperlink ref="Q102" r:id="rId32" display="https://tickeranalysts.com/stocks/sector/chemical"/>
    <hyperlink ref="Q111" r:id="rId33" display="https://tickeranalysts.com/stocks/sector/food-and-personal-care-products"/>
    <hyperlink ref="Q112" r:id="rId34" display="https://tickeranalysts.com/stocks/sector/food-and-personal-care-products"/>
    <hyperlink ref="Q115" r:id="rId35" display="https://tickeranalysts.com/stocks/sector/food-and-personal-care-products"/>
    <hyperlink ref="Q120" r:id="rId36" display="https://tickeranalysts.com/stocks/sector/food-and-personal-care-products"/>
    <hyperlink ref="Q122" r:id="rId37" display="https://tickeranalysts.com/stocks/sector/sugar-and-allied-industries"/>
    <hyperlink ref="Q141" r:id="rId38" display="https://tickeranalysts.com/stocks/sector/food-and-personal-care-products"/>
    <hyperlink ref="Q143" r:id="rId39" display="https://tickeranalysts.com/stocks/sector/glass-and-ceramics"/>
    <hyperlink ref="Q145" r:id="rId40" display="https://tickeranalysts.com/stocks/sector/glass-and-ceramics"/>
    <hyperlink ref="Q146" r:id="rId41" display="https://tickeranalysts.com/stocks/sector/glass-and-ceramics"/>
    <hyperlink ref="Q147" r:id="rId42" display="https://tickeranalysts.com/stocks/sector/glass-and-ceramics"/>
    <hyperlink ref="Q153" r:id="rId43" display="https://internationalaccord.org/wp-content/uploads/2025/06/250601-list-Factory-Disclosure-Report-Pakistan-June-2025.pdf"/>
    <hyperlink ref="Q169" r:id="rId44" display="https://simplywall.st/stocks/pk/pharmaceuticals-biotech/market-cap-large"/>
    <hyperlink ref="Q178" r:id="rId45" display="https://epd.punjab.gov.pk/eia-reports"/>
    <hyperlink ref="Q218" r:id="rId46" display="https://tickeranalysts.com/stocks/sector/engineering"/>
    <hyperlink ref="Q219" r:id="rId47" display="https://tickeranalysts.com/stocks/sector/engineering"/>
    <hyperlink ref="Q223" r:id="rId48" display="https://tickeranalysts.com/stocks/sector/engineering"/>
    <hyperlink ref="Q224" r:id="rId49" display="https://tickeranalysts.com/stocks/sector/engineering"/>
    <hyperlink ref="Q226" r:id="rId50" display="https://tickeranalysts.com/stocks/sector/sugar-and-allied-industries"/>
    <hyperlink ref="Q227" r:id="rId51" display="https://tickeranalysts.com/stocks/sector/sugar-and-allied-industries"/>
    <hyperlink ref="Q230" r:id="rId52" display="https://tickeranalysts.com/stocks/sector/sugar-and-allied-industries"/>
    <hyperlink ref="Q231" r:id="rId53" display="https://tickeranalysts.com/stocks/sector/sugar-and-allied-industries"/>
    <hyperlink ref="Q235" r:id="rId54" display="https://tickeranalysts.com/stocks/sector/sugar-and-allied-industries"/>
    <hyperlink ref="Q236" r:id="rId55" display="https://tickeranalysts.com/stocks/sector/sugar-and-allied-industries"/>
    <hyperlink ref="Q237" r:id="rId56" display="https://tickeranalysts.com/stocks/sector/sugar-and-allied-industries"/>
    <hyperlink ref="Q241" r:id="rId57" display="https://sakrandsugar.com/pdf/SSML-Q3-2026.pdf"/>
    <hyperlink ref="Q243" r:id="rId58" display="https://tickeranalysts.com/stocks/sector/sugar-and-allied-industries"/>
    <hyperlink ref="Q246" r:id="rId59" display="https://tickeranalysts.com/stocks/sector/sugar-and-allied-industries"/>
    <hyperlink ref="Q248" r:id="rId60" display="https://tickeranalysts.com/stocks/sector/sugar-and-allied-industries"/>
    <hyperlink ref="Q252" r:id="rId61" display="https://internationalaccord.org/wp-content/uploads/2025/06/250601-list-Factory-Disclosure-Report-Pakistan-June-2025.pdf"/>
    <hyperlink ref="Q253" r:id="rId62" display="https://internationalaccord.org/wp-content/uploads/2026/02/Factory-Disclosure-Report-Pakistan-January-2026-1.pdf"/>
    <hyperlink ref="Q255" r:id="rId63" display="https://internationalaccord.org/wp-content/uploads/2026/02/Factory-Disclosure-Report-Pakistan-January-2026-1.pdf"/>
    <hyperlink ref="Q259" r:id="rId64" display="https://internationalaccord.org/wp-content/uploads/2026/02/Factory-Disclosure-Report-Pakistan-January-2026-1.pdf"/>
    <hyperlink ref="Q260" r:id="rId65" display="https://internationalaccord.org/wp-content/uploads/2026/02/Factory-Disclosure-Report-Pakistan-January-2026-1.pdf"/>
    <hyperlink ref="Q261" r:id="rId66" display="https://internationalaccord.org/wp-content/uploads/2025/06/250601-list-Factory-Disclosure-Report-Pakistan-June-2025.pdf"/>
    <hyperlink ref="Q262" r:id="rId67" display="https://internationalaccord.org/wp-content/uploads/2025/06/250601-list-Factory-Disclosure-Report-Pakistan-June-2025.pdf"/>
    <hyperlink ref="Q264" r:id="rId68" display="https://internationalaccord.org/wp-content/uploads/2025/06/250601-list-Factory-Disclosure-Report-Pakistan-June-2025.pdf"/>
    <hyperlink ref="Q266" r:id="rId69" display="https://internationalaccord.org/wp-content/uploads/2026/02/Factory-Disclosure-Report-Pakistan-January-2026-1.pdf"/>
    <hyperlink ref="Q269" r:id="rId70" display="https://internationalaccord.org/wp-content/uploads/2025/06/250601-list-Factory-Disclosure-Report-Pakistan-June-2025.pdf"/>
    <hyperlink ref="Q270" r:id="rId71" display="https://tickeranalysts.com/stocks/sector/textile-composite"/>
    <hyperlink ref="Q272" r:id="rId72" display="https://internationalaccord.org/wp-content/uploads/2026/02/Factory-Disclosure-Report-Pakistan-January-2026-1.pdf"/>
    <hyperlink ref="Q273" r:id="rId73" display="https://internationalaccord.org/wp-content/uploads/2026/02/Factory-Disclosure-Report-Pakistan-January-2026-1.pdf"/>
    <hyperlink ref="Q274" r:id="rId74" display="https://internationalaccord.org/wp-content/uploads/2026/02/Factory-Disclosure-Report-Pakistan-January-2026-1.pdf"/>
    <hyperlink ref="Q275" r:id="rId75" display="https://internationalaccord.org/wp-content/uploads/2026/02/Factory-Disclosure-Report-Pakistan-January-2026-1.pdf"/>
    <hyperlink ref="Q276" r:id="rId76" display="https://internationalaccord.org/wp-content/uploads/2026/02/Factory-Disclosure-Report-Pakistan-January-2026-1.pdf"/>
    <hyperlink ref="Q277" r:id="rId77" display="https://internationalaccord.org/wp-content/uploads/2026/02/Factory-Disclosure-Report-Pakistan-January-2026-1.pdf"/>
    <hyperlink ref="Q285" r:id="rId78" display="https://internationalaccord.org/wp-content/uploads/2026/02/Factory-Disclosure-Report-Pakistan-January-2026-1.pdf"/>
    <hyperlink ref="Q286" r:id="rId79" display="https://internationalaccord.org/wp-content/uploads/2026/02/Factory-Disclosure-Report-Pakistan-January-2026-1.pdf"/>
    <hyperlink ref="Q287" r:id="rId80" display="https://internationalaccord.org/wp-content/uploads/2026/02/Factory-Disclosure-Report-Pakistan-January-2026-1.pdf"/>
    <hyperlink ref="Q289" r:id="rId81" display="https://www.lycra.com/it/sourcing-network/us-denim-mills-0"/>
    <hyperlink ref="Q291" r:id="rId82" display="https://tickeranalysts.com/stocks/sector/textile-weaving"/>
  </hyperlinks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58"/>
    <col collapsed="false" customWidth="true" hidden="false" outlineLevel="0" max="5" min="5" style="0" width="46"/>
    <col collapsed="false" customWidth="true" hidden="false" outlineLevel="0" max="6" min="6" style="0" width="22"/>
    <col collapsed="false" customWidth="true" hidden="false" outlineLevel="0" max="7" min="7" style="0" width="40"/>
  </cols>
  <sheetData>
    <row r="1" customFormat="false" ht="33.75" hidden="false" customHeight="true" outlineLevel="0" collapsed="false">
      <c r="A1" s="13" t="s">
        <v>1079</v>
      </c>
      <c r="B1" s="13" t="s">
        <v>46</v>
      </c>
      <c r="C1" s="13" t="s">
        <v>1080</v>
      </c>
      <c r="D1" s="13" t="s">
        <v>1081</v>
      </c>
      <c r="E1" s="13" t="s">
        <v>1082</v>
      </c>
      <c r="F1" s="13" t="s">
        <v>1083</v>
      </c>
      <c r="G1" s="13" t="s">
        <v>58</v>
      </c>
    </row>
    <row r="2" customFormat="false" ht="22.35" hidden="false" customHeight="false" outlineLevel="0" collapsed="false">
      <c r="A2" s="14" t="s">
        <v>81</v>
      </c>
      <c r="B2" s="14" t="s">
        <v>21</v>
      </c>
      <c r="C2" s="14" t="s">
        <v>83</v>
      </c>
      <c r="D2" s="14" t="s">
        <v>88</v>
      </c>
      <c r="E2" s="14" t="s">
        <v>84</v>
      </c>
      <c r="F2" s="14" t="s">
        <v>1084</v>
      </c>
      <c r="G2" s="16" t="s">
        <v>91</v>
      </c>
    </row>
    <row r="3" customFormat="false" ht="22.35" hidden="false" customHeight="false" outlineLevel="0" collapsed="false">
      <c r="A3" s="14" t="s">
        <v>98</v>
      </c>
      <c r="B3" s="14" t="s">
        <v>21</v>
      </c>
      <c r="C3" s="14" t="s">
        <v>83</v>
      </c>
      <c r="D3" s="14" t="s">
        <v>88</v>
      </c>
      <c r="E3" s="14" t="s">
        <v>84</v>
      </c>
      <c r="F3" s="14" t="s">
        <v>1084</v>
      </c>
      <c r="G3" s="16" t="s">
        <v>91</v>
      </c>
    </row>
    <row r="4" customFormat="false" ht="15" hidden="false" customHeight="false" outlineLevel="0" collapsed="false">
      <c r="A4" s="14" t="s">
        <v>99</v>
      </c>
      <c r="B4" s="14" t="s">
        <v>21</v>
      </c>
      <c r="C4" s="14" t="s">
        <v>101</v>
      </c>
      <c r="D4" s="14" t="s">
        <v>88</v>
      </c>
      <c r="E4" s="14" t="s">
        <v>102</v>
      </c>
      <c r="F4" s="14" t="s">
        <v>1084</v>
      </c>
      <c r="G4" s="16" t="s">
        <v>91</v>
      </c>
    </row>
    <row r="5" customFormat="false" ht="22.35" hidden="false" customHeight="false" outlineLevel="0" collapsed="false">
      <c r="A5" s="14" t="s">
        <v>113</v>
      </c>
      <c r="B5" s="14" t="s">
        <v>21</v>
      </c>
      <c r="C5" s="14" t="s">
        <v>83</v>
      </c>
      <c r="D5" s="14" t="s">
        <v>88</v>
      </c>
      <c r="E5" s="14" t="s">
        <v>84</v>
      </c>
      <c r="F5" s="14" t="s">
        <v>1084</v>
      </c>
      <c r="G5" s="16" t="s">
        <v>91</v>
      </c>
    </row>
    <row r="6" customFormat="false" ht="22.35" hidden="false" customHeight="false" outlineLevel="0" collapsed="false">
      <c r="A6" s="14" t="s">
        <v>114</v>
      </c>
      <c r="B6" s="14" t="s">
        <v>17</v>
      </c>
      <c r="C6" s="14" t="s">
        <v>116</v>
      </c>
      <c r="D6" s="14" t="s">
        <v>120</v>
      </c>
      <c r="E6" s="14" t="s">
        <v>117</v>
      </c>
      <c r="F6" s="14" t="s">
        <v>1084</v>
      </c>
      <c r="G6" s="16" t="s">
        <v>121</v>
      </c>
    </row>
    <row r="7" customFormat="false" ht="22.35" hidden="false" customHeight="false" outlineLevel="0" collapsed="false">
      <c r="A7" s="14" t="s">
        <v>128</v>
      </c>
      <c r="B7" s="14" t="s">
        <v>17</v>
      </c>
      <c r="C7" s="14" t="s">
        <v>130</v>
      </c>
      <c r="D7" s="14" t="s">
        <v>132</v>
      </c>
      <c r="E7" s="14" t="s">
        <v>131</v>
      </c>
      <c r="F7" s="14" t="s">
        <v>1084</v>
      </c>
      <c r="G7" s="16" t="s">
        <v>121</v>
      </c>
    </row>
    <row r="8" customFormat="false" ht="22.35" hidden="false" customHeight="false" outlineLevel="0" collapsed="false">
      <c r="A8" s="14" t="s">
        <v>158</v>
      </c>
      <c r="B8" s="14" t="s">
        <v>10</v>
      </c>
      <c r="C8" s="14" t="s">
        <v>160</v>
      </c>
      <c r="D8" s="14" t="s">
        <v>164</v>
      </c>
      <c r="E8" s="14" t="s">
        <v>161</v>
      </c>
      <c r="F8" s="14" t="s">
        <v>1084</v>
      </c>
      <c r="G8" s="16" t="s">
        <v>121</v>
      </c>
    </row>
    <row r="9" customFormat="false" ht="22.35" hidden="false" customHeight="false" outlineLevel="0" collapsed="false">
      <c r="A9" s="14" t="s">
        <v>165</v>
      </c>
      <c r="B9" s="14" t="s">
        <v>10</v>
      </c>
      <c r="C9" s="14" t="s">
        <v>168</v>
      </c>
      <c r="D9" s="14" t="s">
        <v>172</v>
      </c>
      <c r="E9" s="14" t="s">
        <v>169</v>
      </c>
      <c r="F9" s="14" t="s">
        <v>1084</v>
      </c>
      <c r="G9" s="16" t="s">
        <v>174</v>
      </c>
    </row>
    <row r="10" customFormat="false" ht="22.35" hidden="false" customHeight="false" outlineLevel="0" collapsed="false">
      <c r="A10" s="14" t="s">
        <v>199</v>
      </c>
      <c r="B10" s="14" t="s">
        <v>23</v>
      </c>
      <c r="C10" s="14" t="s">
        <v>201</v>
      </c>
      <c r="D10" s="14" t="s">
        <v>204</v>
      </c>
      <c r="E10" s="14" t="s">
        <v>202</v>
      </c>
      <c r="F10" s="14" t="s">
        <v>1084</v>
      </c>
      <c r="G10" s="16" t="s">
        <v>121</v>
      </c>
    </row>
    <row r="11" customFormat="false" ht="22.35" hidden="false" customHeight="false" outlineLevel="0" collapsed="false">
      <c r="A11" s="14" t="s">
        <v>205</v>
      </c>
      <c r="B11" s="14" t="s">
        <v>31</v>
      </c>
      <c r="C11" s="14" t="s">
        <v>160</v>
      </c>
      <c r="D11" s="14" t="s">
        <v>210</v>
      </c>
      <c r="E11" s="14" t="s">
        <v>207</v>
      </c>
      <c r="F11" s="14" t="s">
        <v>1084</v>
      </c>
      <c r="G11" s="16" t="s">
        <v>211</v>
      </c>
    </row>
    <row r="12" customFormat="false" ht="22.35" hidden="false" customHeight="false" outlineLevel="0" collapsed="false">
      <c r="A12" s="14" t="s">
        <v>235</v>
      </c>
      <c r="B12" s="14" t="s">
        <v>12</v>
      </c>
      <c r="C12" s="14" t="s">
        <v>237</v>
      </c>
      <c r="D12" s="14" t="s">
        <v>241</v>
      </c>
      <c r="E12" s="14" t="s">
        <v>238</v>
      </c>
      <c r="F12" s="14" t="s">
        <v>1084</v>
      </c>
      <c r="G12" s="16" t="s">
        <v>121</v>
      </c>
    </row>
    <row r="13" customFormat="false" ht="22.35" hidden="false" customHeight="false" outlineLevel="0" collapsed="false">
      <c r="A13" s="14" t="s">
        <v>242</v>
      </c>
      <c r="B13" s="14" t="s">
        <v>12</v>
      </c>
      <c r="C13" s="14" t="s">
        <v>243</v>
      </c>
      <c r="D13" s="14" t="s">
        <v>244</v>
      </c>
      <c r="E13" s="14" t="s">
        <v>238</v>
      </c>
      <c r="F13" s="14" t="s">
        <v>1084</v>
      </c>
      <c r="G13" s="16" t="s">
        <v>121</v>
      </c>
    </row>
    <row r="14" customFormat="false" ht="22.35" hidden="false" customHeight="false" outlineLevel="0" collapsed="false">
      <c r="A14" s="14" t="s">
        <v>245</v>
      </c>
      <c r="B14" s="14" t="s">
        <v>12</v>
      </c>
      <c r="C14" s="14" t="s">
        <v>246</v>
      </c>
      <c r="D14" s="14" t="s">
        <v>247</v>
      </c>
      <c r="E14" s="14" t="s">
        <v>238</v>
      </c>
      <c r="F14" s="14" t="s">
        <v>1084</v>
      </c>
      <c r="G14" s="16" t="s">
        <v>121</v>
      </c>
    </row>
    <row r="15" customFormat="false" ht="22.35" hidden="false" customHeight="false" outlineLevel="0" collapsed="false">
      <c r="A15" s="14" t="s">
        <v>248</v>
      </c>
      <c r="B15" s="14" t="s">
        <v>12</v>
      </c>
      <c r="C15" s="14" t="s">
        <v>250</v>
      </c>
      <c r="D15" s="14" t="s">
        <v>251</v>
      </c>
      <c r="E15" s="14" t="s">
        <v>238</v>
      </c>
      <c r="F15" s="14" t="s">
        <v>1084</v>
      </c>
      <c r="G15" s="16" t="s">
        <v>121</v>
      </c>
    </row>
    <row r="16" customFormat="false" ht="22.35" hidden="false" customHeight="false" outlineLevel="0" collapsed="false">
      <c r="A16" s="14" t="s">
        <v>259</v>
      </c>
      <c r="B16" s="14" t="s">
        <v>12</v>
      </c>
      <c r="C16" s="14" t="s">
        <v>261</v>
      </c>
      <c r="D16" s="14" t="s">
        <v>263</v>
      </c>
      <c r="E16" s="14" t="s">
        <v>262</v>
      </c>
      <c r="F16" s="14" t="s">
        <v>1084</v>
      </c>
      <c r="G16" s="16" t="s">
        <v>121</v>
      </c>
    </row>
    <row r="17" customFormat="false" ht="22.35" hidden="false" customHeight="false" outlineLevel="0" collapsed="false">
      <c r="A17" s="14" t="s">
        <v>264</v>
      </c>
      <c r="B17" s="14" t="s">
        <v>12</v>
      </c>
      <c r="C17" s="14" t="s">
        <v>265</v>
      </c>
      <c r="D17" s="14" t="s">
        <v>266</v>
      </c>
      <c r="E17" s="14" t="s">
        <v>238</v>
      </c>
      <c r="F17" s="14" t="s">
        <v>1084</v>
      </c>
      <c r="G17" s="16" t="s">
        <v>121</v>
      </c>
    </row>
    <row r="18" customFormat="false" ht="22.35" hidden="false" customHeight="false" outlineLevel="0" collapsed="false">
      <c r="A18" s="14" t="s">
        <v>267</v>
      </c>
      <c r="B18" s="14" t="s">
        <v>12</v>
      </c>
      <c r="C18" s="14" t="s">
        <v>269</v>
      </c>
      <c r="D18" s="14" t="s">
        <v>271</v>
      </c>
      <c r="E18" s="14" t="s">
        <v>270</v>
      </c>
      <c r="F18" s="14" t="s">
        <v>1084</v>
      </c>
      <c r="G18" s="16" t="s">
        <v>121</v>
      </c>
    </row>
    <row r="19" customFormat="false" ht="22.35" hidden="false" customHeight="false" outlineLevel="0" collapsed="false">
      <c r="A19" s="14" t="s">
        <v>272</v>
      </c>
      <c r="B19" s="14" t="s">
        <v>12</v>
      </c>
      <c r="C19" s="14" t="s">
        <v>215</v>
      </c>
      <c r="D19" s="14" t="s">
        <v>278</v>
      </c>
      <c r="E19" s="14" t="s">
        <v>275</v>
      </c>
      <c r="F19" s="14" t="s">
        <v>1084</v>
      </c>
      <c r="G19" s="14" t="s">
        <v>72</v>
      </c>
    </row>
    <row r="20" customFormat="false" ht="22.35" hidden="false" customHeight="false" outlineLevel="0" collapsed="false">
      <c r="A20" s="14" t="s">
        <v>287</v>
      </c>
      <c r="B20" s="14" t="s">
        <v>12</v>
      </c>
      <c r="C20" s="14" t="s">
        <v>243</v>
      </c>
      <c r="D20" s="14" t="s">
        <v>289</v>
      </c>
      <c r="E20" s="14" t="s">
        <v>288</v>
      </c>
      <c r="F20" s="14" t="s">
        <v>1084</v>
      </c>
      <c r="G20" s="16" t="s">
        <v>121</v>
      </c>
    </row>
    <row r="21" customFormat="false" ht="22.35" hidden="false" customHeight="false" outlineLevel="0" collapsed="false">
      <c r="A21" s="14" t="s">
        <v>311</v>
      </c>
      <c r="B21" s="14" t="s">
        <v>25</v>
      </c>
      <c r="C21" s="14" t="s">
        <v>188</v>
      </c>
      <c r="D21" s="14" t="s">
        <v>316</v>
      </c>
      <c r="E21" s="14" t="s">
        <v>313</v>
      </c>
      <c r="F21" s="14" t="s">
        <v>1084</v>
      </c>
      <c r="G21" s="16" t="s">
        <v>317</v>
      </c>
    </row>
    <row r="22" customFormat="false" ht="15" hidden="false" customHeight="false" outlineLevel="0" collapsed="false">
      <c r="A22" s="14" t="s">
        <v>328</v>
      </c>
      <c r="B22" s="14" t="s">
        <v>25</v>
      </c>
      <c r="C22" s="14" t="s">
        <v>330</v>
      </c>
      <c r="D22" s="14" t="s">
        <v>332</v>
      </c>
      <c r="E22" s="14" t="s">
        <v>331</v>
      </c>
      <c r="F22" s="14" t="s">
        <v>1084</v>
      </c>
      <c r="G22" s="16" t="s">
        <v>121</v>
      </c>
    </row>
    <row r="23" customFormat="false" ht="22.35" hidden="false" customHeight="false" outlineLevel="0" collapsed="false">
      <c r="A23" s="14" t="s">
        <v>355</v>
      </c>
      <c r="B23" s="14" t="s">
        <v>22</v>
      </c>
      <c r="C23" s="14" t="s">
        <v>357</v>
      </c>
      <c r="D23" s="14" t="s">
        <v>361</v>
      </c>
      <c r="E23" s="14" t="s">
        <v>358</v>
      </c>
      <c r="F23" s="14" t="s">
        <v>1084</v>
      </c>
      <c r="G23" s="16" t="s">
        <v>121</v>
      </c>
    </row>
    <row r="24" customFormat="false" ht="22.35" hidden="false" customHeight="false" outlineLevel="0" collapsed="false">
      <c r="A24" s="14" t="s">
        <v>391</v>
      </c>
      <c r="B24" s="14" t="s">
        <v>8</v>
      </c>
      <c r="C24" s="14" t="s">
        <v>135</v>
      </c>
      <c r="D24" s="14" t="s">
        <v>394</v>
      </c>
      <c r="E24" s="14" t="s">
        <v>393</v>
      </c>
      <c r="F24" s="14" t="s">
        <v>1084</v>
      </c>
      <c r="G24" s="16" t="s">
        <v>395</v>
      </c>
    </row>
    <row r="25" customFormat="false" ht="22.35" hidden="false" customHeight="false" outlineLevel="0" collapsed="false">
      <c r="A25" s="14" t="s">
        <v>402</v>
      </c>
      <c r="B25" s="14" t="s">
        <v>8</v>
      </c>
      <c r="C25" s="14" t="s">
        <v>62</v>
      </c>
      <c r="D25" s="14" t="s">
        <v>405</v>
      </c>
      <c r="E25" s="14" t="s">
        <v>404</v>
      </c>
      <c r="F25" s="14" t="s">
        <v>1084</v>
      </c>
      <c r="G25" s="16" t="s">
        <v>121</v>
      </c>
    </row>
    <row r="26" customFormat="false" ht="22.35" hidden="false" customHeight="false" outlineLevel="0" collapsed="false">
      <c r="A26" s="14" t="s">
        <v>419</v>
      </c>
      <c r="B26" s="14" t="s">
        <v>8</v>
      </c>
      <c r="C26" s="14" t="s">
        <v>160</v>
      </c>
      <c r="D26" s="14" t="s">
        <v>422</v>
      </c>
      <c r="E26" s="14" t="s">
        <v>421</v>
      </c>
      <c r="F26" s="14" t="s">
        <v>1084</v>
      </c>
      <c r="G26" s="16" t="s">
        <v>423</v>
      </c>
    </row>
    <row r="27" customFormat="false" ht="22.35" hidden="false" customHeight="false" outlineLevel="0" collapsed="false">
      <c r="A27" s="14" t="s">
        <v>424</v>
      </c>
      <c r="B27" s="14" t="s">
        <v>8</v>
      </c>
      <c r="C27" s="14" t="s">
        <v>160</v>
      </c>
      <c r="D27" s="14" t="s">
        <v>427</v>
      </c>
      <c r="E27" s="14" t="s">
        <v>426</v>
      </c>
      <c r="F27" s="14" t="s">
        <v>1084</v>
      </c>
      <c r="G27" s="16" t="s">
        <v>428</v>
      </c>
    </row>
    <row r="28" customFormat="false" ht="32.8" hidden="false" customHeight="false" outlineLevel="0" collapsed="false">
      <c r="A28" s="14" t="s">
        <v>429</v>
      </c>
      <c r="B28" s="14" t="s">
        <v>8</v>
      </c>
      <c r="C28" s="14" t="s">
        <v>188</v>
      </c>
      <c r="D28" s="14" t="s">
        <v>432</v>
      </c>
      <c r="E28" s="14" t="s">
        <v>431</v>
      </c>
      <c r="F28" s="14" t="s">
        <v>1084</v>
      </c>
      <c r="G28" s="16" t="s">
        <v>433</v>
      </c>
    </row>
    <row r="29" customFormat="false" ht="22.35" hidden="false" customHeight="false" outlineLevel="0" collapsed="false">
      <c r="A29" s="14" t="s">
        <v>438</v>
      </c>
      <c r="B29" s="14" t="s">
        <v>8</v>
      </c>
      <c r="C29" s="14" t="s">
        <v>135</v>
      </c>
      <c r="D29" s="14" t="s">
        <v>441</v>
      </c>
      <c r="E29" s="14" t="s">
        <v>440</v>
      </c>
      <c r="F29" s="14" t="s">
        <v>1084</v>
      </c>
      <c r="G29" s="16" t="s">
        <v>442</v>
      </c>
    </row>
    <row r="30" customFormat="false" ht="22.35" hidden="false" customHeight="false" outlineLevel="0" collapsed="false">
      <c r="A30" s="14" t="s">
        <v>1085</v>
      </c>
      <c r="B30" s="14" t="s">
        <v>8</v>
      </c>
      <c r="C30" s="14" t="s">
        <v>1086</v>
      </c>
      <c r="D30" s="14" t="s">
        <v>1087</v>
      </c>
      <c r="E30" s="14" t="s">
        <v>1088</v>
      </c>
      <c r="F30" s="14" t="s">
        <v>1089</v>
      </c>
      <c r="G30" s="16" t="s">
        <v>1090</v>
      </c>
    </row>
    <row r="31" customFormat="false" ht="22.35" hidden="false" customHeight="false" outlineLevel="0" collapsed="false">
      <c r="A31" s="14" t="s">
        <v>1091</v>
      </c>
      <c r="B31" s="14" t="s">
        <v>41</v>
      </c>
      <c r="C31" s="14" t="s">
        <v>1092</v>
      </c>
      <c r="D31" s="14" t="s">
        <v>1093</v>
      </c>
      <c r="E31" s="14" t="s">
        <v>1094</v>
      </c>
      <c r="F31" s="14" t="s">
        <v>1095</v>
      </c>
      <c r="G31" s="16" t="s">
        <v>1096</v>
      </c>
    </row>
  </sheetData>
  <autoFilter ref="A1:G31"/>
  <hyperlinks>
    <hyperlink ref="G2" r:id="rId1" display="https://e.ccement.com/news/content/67531448976165001.html"/>
    <hyperlink ref="G3" r:id="rId2" display="https://e.ccement.com/news/content/67531448976165001.html"/>
    <hyperlink ref="G4" r:id="rId3" display="https://e.ccement.com/news/content/67531448976165001.html"/>
    <hyperlink ref="G5" r:id="rId4" display="https://e.ccement.com/news/content/67531448976165001.html"/>
    <hyperlink ref="G6" r:id="rId5" display="https://epd.punjab.gov.pk/eia-reports"/>
    <hyperlink ref="G7" r:id="rId6" display="https://epd.punjab.gov.pk/eia-reports"/>
    <hyperlink ref="G8" r:id="rId7" display="https://epd.punjab.gov.pk/eia-reports"/>
    <hyperlink ref="G9" r:id="rId8" display="https://epa.sindh.gov.pk/files/EPA-Sindh/EIA-IEE/EIA%20CCI%20Greenfield%20Karachi%20Report.pdf"/>
    <hyperlink ref="G10" r:id="rId9" display="https://epd.punjab.gov.pk/eia-reports"/>
    <hyperlink ref="G11" r:id="rId10" display="https://epd.punjab.gov.pk/system/files/2025%20253.pdf"/>
    <hyperlink ref="G12" r:id="rId11" display="https://epd.punjab.gov.pk/eia-reports"/>
    <hyperlink ref="G13" r:id="rId12" display="https://epd.punjab.gov.pk/eia-reports"/>
    <hyperlink ref="G14" r:id="rId13" display="https://epd.punjab.gov.pk/eia-reports"/>
    <hyperlink ref="G15" r:id="rId14" display="https://epd.punjab.gov.pk/eia-reports"/>
    <hyperlink ref="G16" r:id="rId15" display="https://epd.punjab.gov.pk/eia-reports"/>
    <hyperlink ref="G17" r:id="rId16" display="https://epd.punjab.gov.pk/eia-reports"/>
    <hyperlink ref="G18" r:id="rId17" display="https://epd.punjab.gov.pk/eia-reports"/>
    <hyperlink ref="G20" r:id="rId18" display="https://epd.punjab.gov.pk/eia-reports"/>
    <hyperlink ref="G21" r:id="rId19" display="https://epd.punjab.gov.pk/system/files/2025%20304.pdf"/>
    <hyperlink ref="G22" r:id="rId20" display="https://epd.punjab.gov.pk/eia-reports"/>
    <hyperlink ref="G23" r:id="rId21" display="https://epd.punjab.gov.pk/eia-reports"/>
    <hyperlink ref="G24" r:id="rId22" display="https://epd.punjab.gov.pk/system/files/105.%20Beacon%20Impex%20EIA%20for%20extension.pdf"/>
    <hyperlink ref="G25" r:id="rId23" display="https://epd.punjab.gov.pk/eia-reports"/>
    <hyperlink ref="G26" r:id="rId24" display="https://epd.punjab.gov.pk/system/files/2025%2059.pdf"/>
    <hyperlink ref="G27" r:id="rId25" display="https://epd.punjab.gov.pk/system/files/2025%20225.pdf"/>
    <hyperlink ref="G28" r:id="rId26" display="https://epd.punjab.gov.pk/system/files/2025%20312.pdf"/>
    <hyperlink ref="G29" r:id="rId27" display="https://epd.punjab.gov.pk/system/files/20.%20EIA%20Report%20Tauseef%20Enterprises%2C%20Faisalabad.pdf"/>
    <hyperlink ref="G30" r:id="rId28" display="https://epd.punjab.gov.pk/system/files/2025%20271.pdf"/>
    <hyperlink ref="G31" r:id="rId29" display="https://www.arabnews.com/node/2645462/amp"/>
  </hyperlinks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18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32"/>
    <col collapsed="false" customWidth="true" hidden="false" outlineLevel="0" max="10" min="9" style="0" width="16"/>
    <col collapsed="false" customWidth="true" hidden="false" outlineLevel="0" max="11" min="11" style="0" width="36"/>
  </cols>
  <sheetData>
    <row r="1" customFormat="false" ht="33.75" hidden="false" customHeight="true" outlineLevel="0" collapsed="false">
      <c r="A1" s="13" t="s">
        <v>43</v>
      </c>
      <c r="B1" s="13" t="s">
        <v>1097</v>
      </c>
      <c r="C1" s="13" t="s">
        <v>46</v>
      </c>
      <c r="D1" s="13" t="s">
        <v>1098</v>
      </c>
      <c r="E1" s="13" t="s">
        <v>1099</v>
      </c>
      <c r="F1" s="13" t="s">
        <v>1100</v>
      </c>
      <c r="G1" s="13" t="s">
        <v>51</v>
      </c>
      <c r="H1" s="13" t="s">
        <v>1101</v>
      </c>
      <c r="I1" s="13" t="s">
        <v>1102</v>
      </c>
      <c r="J1" s="13" t="s">
        <v>1103</v>
      </c>
      <c r="K1" s="13" t="s">
        <v>1104</v>
      </c>
    </row>
    <row r="2" customFormat="false" ht="22.35" hidden="false" customHeight="false" outlineLevel="0" collapsed="false">
      <c r="A2" s="14" t="n">
        <v>1</v>
      </c>
      <c r="B2" s="14" t="s">
        <v>1105</v>
      </c>
      <c r="C2" s="14" t="s">
        <v>8</v>
      </c>
      <c r="D2" s="14" t="s">
        <v>1106</v>
      </c>
      <c r="E2" s="14" t="s">
        <v>1107</v>
      </c>
      <c r="F2" s="14" t="s">
        <v>1108</v>
      </c>
      <c r="G2" s="14" t="s">
        <v>410</v>
      </c>
      <c r="H2" s="14" t="s">
        <v>1109</v>
      </c>
      <c r="I2" s="19" t="n">
        <v>733600000</v>
      </c>
      <c r="J2" s="19" t="n">
        <v>324268000</v>
      </c>
      <c r="K2" s="14" t="s">
        <v>1110</v>
      </c>
    </row>
    <row r="3" customFormat="false" ht="22.35" hidden="false" customHeight="false" outlineLevel="0" collapsed="false">
      <c r="A3" s="14" t="n">
        <v>2</v>
      </c>
      <c r="B3" s="14" t="s">
        <v>1111</v>
      </c>
      <c r="C3" s="14" t="s">
        <v>8</v>
      </c>
      <c r="D3" s="14" t="s">
        <v>1106</v>
      </c>
      <c r="E3" s="14" t="s">
        <v>1112</v>
      </c>
      <c r="F3" s="14" t="s">
        <v>1113</v>
      </c>
      <c r="G3" s="14" t="s">
        <v>1114</v>
      </c>
      <c r="H3" s="14" t="s">
        <v>1109</v>
      </c>
      <c r="I3" s="19" t="n">
        <v>587880000</v>
      </c>
      <c r="J3" s="19"/>
      <c r="K3" s="14" t="s">
        <v>1115</v>
      </c>
    </row>
    <row r="4" customFormat="false" ht="22.35" hidden="false" customHeight="false" outlineLevel="0" collapsed="false">
      <c r="A4" s="14" t="n">
        <v>3</v>
      </c>
      <c r="B4" s="14" t="s">
        <v>1116</v>
      </c>
      <c r="C4" s="14" t="s">
        <v>8</v>
      </c>
      <c r="D4" s="14" t="s">
        <v>1106</v>
      </c>
      <c r="E4" s="14" t="s">
        <v>1112</v>
      </c>
      <c r="F4" s="14" t="s">
        <v>1117</v>
      </c>
      <c r="G4" s="14" t="s">
        <v>1118</v>
      </c>
      <c r="H4" s="14" t="s">
        <v>1119</v>
      </c>
      <c r="I4" s="19"/>
      <c r="J4" s="19" t="n">
        <v>214720000</v>
      </c>
      <c r="K4" s="14" t="s">
        <v>1120</v>
      </c>
    </row>
    <row r="5" customFormat="false" ht="22.35" hidden="false" customHeight="false" outlineLevel="0" collapsed="false">
      <c r="A5" s="14" t="n">
        <v>4</v>
      </c>
      <c r="B5" s="14" t="s">
        <v>1121</v>
      </c>
      <c r="C5" s="14" t="s">
        <v>8</v>
      </c>
      <c r="D5" s="14" t="s">
        <v>1106</v>
      </c>
      <c r="E5" s="14" t="s">
        <v>1107</v>
      </c>
      <c r="F5" s="14" t="s">
        <v>1122</v>
      </c>
      <c r="G5" s="14" t="s">
        <v>1123</v>
      </c>
      <c r="H5" s="14" t="s">
        <v>1109</v>
      </c>
      <c r="I5" s="19" t="n">
        <v>635720000</v>
      </c>
      <c r="J5" s="19"/>
      <c r="K5" s="14" t="s">
        <v>1124</v>
      </c>
    </row>
    <row r="6" customFormat="false" ht="22.35" hidden="false" customHeight="false" outlineLevel="0" collapsed="false">
      <c r="A6" s="14" t="n">
        <v>5</v>
      </c>
      <c r="B6" s="14" t="s">
        <v>1125</v>
      </c>
      <c r="C6" s="14" t="s">
        <v>8</v>
      </c>
      <c r="D6" s="14" t="s">
        <v>1106</v>
      </c>
      <c r="E6" s="14" t="s">
        <v>1107</v>
      </c>
      <c r="F6" s="14" t="s">
        <v>1126</v>
      </c>
      <c r="G6" s="14" t="s">
        <v>1127</v>
      </c>
      <c r="H6" s="14" t="s">
        <v>1128</v>
      </c>
      <c r="I6" s="19" t="n">
        <v>245311200</v>
      </c>
      <c r="J6" s="19"/>
      <c r="K6" s="14" t="s">
        <v>1129</v>
      </c>
    </row>
    <row r="7" customFormat="false" ht="22.35" hidden="false" customHeight="false" outlineLevel="0" collapsed="false">
      <c r="A7" s="14" t="n">
        <v>6</v>
      </c>
      <c r="B7" s="14" t="s">
        <v>1130</v>
      </c>
      <c r="C7" s="14" t="s">
        <v>8</v>
      </c>
      <c r="D7" s="14" t="s">
        <v>1106</v>
      </c>
      <c r="E7" s="14" t="s">
        <v>1107</v>
      </c>
      <c r="F7" s="14" t="s">
        <v>1131</v>
      </c>
      <c r="G7" s="14" t="s">
        <v>1132</v>
      </c>
      <c r="H7" s="14" t="s">
        <v>1133</v>
      </c>
      <c r="I7" s="19" t="n">
        <v>233848000</v>
      </c>
      <c r="J7" s="19"/>
      <c r="K7" s="14" t="s">
        <v>1134</v>
      </c>
    </row>
    <row r="8" customFormat="false" ht="22.35" hidden="false" customHeight="false" outlineLevel="0" collapsed="false">
      <c r="A8" s="14" t="n">
        <v>7</v>
      </c>
      <c r="B8" s="14" t="s">
        <v>1135</v>
      </c>
      <c r="C8" s="14" t="s">
        <v>8</v>
      </c>
      <c r="D8" s="14" t="s">
        <v>1106</v>
      </c>
      <c r="E8" s="14" t="s">
        <v>1112</v>
      </c>
      <c r="F8" s="14" t="s">
        <v>1136</v>
      </c>
      <c r="G8" s="14" t="s">
        <v>1137</v>
      </c>
      <c r="H8" s="14" t="s">
        <v>1138</v>
      </c>
      <c r="I8" s="19" t="n">
        <v>213732000</v>
      </c>
      <c r="J8" s="19" t="n">
        <v>20874000</v>
      </c>
      <c r="K8" s="14" t="s">
        <v>1139</v>
      </c>
    </row>
    <row r="9" customFormat="false" ht="22.35" hidden="false" customHeight="false" outlineLevel="0" collapsed="false">
      <c r="A9" s="14" t="n">
        <v>8</v>
      </c>
      <c r="B9" s="14" t="s">
        <v>1140</v>
      </c>
      <c r="C9" s="14" t="s">
        <v>8</v>
      </c>
      <c r="D9" s="14" t="s">
        <v>1106</v>
      </c>
      <c r="E9" s="14" t="s">
        <v>1112</v>
      </c>
      <c r="F9" s="14" t="s">
        <v>1141</v>
      </c>
      <c r="G9" s="14" t="s">
        <v>1118</v>
      </c>
      <c r="H9" s="14" t="s">
        <v>1142</v>
      </c>
      <c r="I9" s="19"/>
      <c r="J9" s="19"/>
      <c r="K9" s="14" t="s">
        <v>1143</v>
      </c>
    </row>
    <row r="10" customFormat="false" ht="22.35" hidden="false" customHeight="false" outlineLevel="0" collapsed="false">
      <c r="A10" s="14" t="n">
        <v>9</v>
      </c>
      <c r="B10" s="14" t="s">
        <v>1144</v>
      </c>
      <c r="C10" s="14" t="s">
        <v>8</v>
      </c>
      <c r="D10" s="14" t="s">
        <v>1106</v>
      </c>
      <c r="E10" s="14" t="s">
        <v>1112</v>
      </c>
      <c r="F10" s="14" t="s">
        <v>1145</v>
      </c>
      <c r="G10" s="14" t="s">
        <v>1146</v>
      </c>
      <c r="H10" s="14" t="s">
        <v>1128</v>
      </c>
      <c r="I10" s="19"/>
      <c r="J10" s="19" t="n">
        <v>96853200</v>
      </c>
      <c r="K10" s="14" t="s">
        <v>1147</v>
      </c>
    </row>
    <row r="11" customFormat="false" ht="15" hidden="false" customHeight="false" outlineLevel="0" collapsed="false">
      <c r="A11" s="14" t="n">
        <v>10</v>
      </c>
      <c r="B11" s="14" t="s">
        <v>1148</v>
      </c>
      <c r="C11" s="14" t="s">
        <v>8</v>
      </c>
      <c r="D11" s="14" t="s">
        <v>1106</v>
      </c>
      <c r="E11" s="14" t="s">
        <v>1112</v>
      </c>
      <c r="F11" s="14" t="s">
        <v>1149</v>
      </c>
      <c r="G11" s="14" t="s">
        <v>1150</v>
      </c>
      <c r="H11" s="14" t="s">
        <v>1151</v>
      </c>
      <c r="I11" s="19"/>
      <c r="J11" s="19" t="n">
        <v>66720000</v>
      </c>
      <c r="K11" s="14" t="s">
        <v>1152</v>
      </c>
    </row>
    <row r="12" customFormat="false" ht="22.35" hidden="false" customHeight="false" outlineLevel="0" collapsed="false">
      <c r="A12" s="14" t="n">
        <v>11</v>
      </c>
      <c r="B12" s="14" t="s">
        <v>892</v>
      </c>
      <c r="C12" s="14" t="s">
        <v>8</v>
      </c>
      <c r="D12" s="14" t="s">
        <v>1106</v>
      </c>
      <c r="E12" s="14" t="s">
        <v>1112</v>
      </c>
      <c r="F12" s="14" t="s">
        <v>1153</v>
      </c>
      <c r="G12" s="14" t="s">
        <v>1154</v>
      </c>
      <c r="H12" s="14" t="s">
        <v>1155</v>
      </c>
      <c r="I12" s="19" t="n">
        <v>52484000</v>
      </c>
      <c r="J12" s="19" t="n">
        <v>29532000</v>
      </c>
      <c r="K12" s="14" t="s">
        <v>1156</v>
      </c>
    </row>
    <row r="13" customFormat="false" ht="15" hidden="false" customHeight="false" outlineLevel="0" collapsed="false">
      <c r="A13" s="14" t="n">
        <v>12</v>
      </c>
      <c r="B13" s="14" t="s">
        <v>1157</v>
      </c>
      <c r="C13" s="14" t="s">
        <v>8</v>
      </c>
      <c r="D13" s="14" t="s">
        <v>1106</v>
      </c>
      <c r="E13" s="14" t="s">
        <v>1112</v>
      </c>
      <c r="F13" s="14" t="s">
        <v>1158</v>
      </c>
      <c r="G13" s="14" t="s">
        <v>1159</v>
      </c>
      <c r="H13" s="14" t="s">
        <v>1128</v>
      </c>
      <c r="I13" s="19" t="n">
        <v>281748000</v>
      </c>
      <c r="J13" s="19"/>
      <c r="K13" s="14" t="s">
        <v>1160</v>
      </c>
    </row>
    <row r="14" customFormat="false" ht="15" hidden="false" customHeight="false" outlineLevel="0" collapsed="false">
      <c r="A14" s="14" t="n">
        <v>13</v>
      </c>
      <c r="B14" s="14" t="s">
        <v>1161</v>
      </c>
      <c r="C14" s="14" t="s">
        <v>8</v>
      </c>
      <c r="D14" s="14" t="s">
        <v>1106</v>
      </c>
      <c r="E14" s="14" t="s">
        <v>1112</v>
      </c>
      <c r="F14" s="14" t="s">
        <v>1162</v>
      </c>
      <c r="G14" s="14" t="s">
        <v>1163</v>
      </c>
      <c r="H14" s="14" t="s">
        <v>1151</v>
      </c>
      <c r="I14" s="19" t="n">
        <v>51684000</v>
      </c>
      <c r="J14" s="19"/>
      <c r="K14" s="14" t="s">
        <v>1164</v>
      </c>
    </row>
    <row r="15" customFormat="false" ht="22.35" hidden="false" customHeight="false" outlineLevel="0" collapsed="false">
      <c r="A15" s="14" t="n">
        <v>14</v>
      </c>
      <c r="B15" s="14" t="s">
        <v>1165</v>
      </c>
      <c r="C15" s="14" t="s">
        <v>8</v>
      </c>
      <c r="D15" s="14" t="s">
        <v>1106</v>
      </c>
      <c r="E15" s="14" t="s">
        <v>1112</v>
      </c>
      <c r="F15" s="14" t="s">
        <v>1166</v>
      </c>
      <c r="G15" s="14" t="s">
        <v>1146</v>
      </c>
      <c r="H15" s="14" t="s">
        <v>1167</v>
      </c>
      <c r="I15" s="19"/>
      <c r="J15" s="19"/>
      <c r="K15" s="14" t="s">
        <v>1168</v>
      </c>
    </row>
    <row r="16" customFormat="false" ht="22.35" hidden="false" customHeight="false" outlineLevel="0" collapsed="false">
      <c r="A16" s="14" t="n">
        <v>15</v>
      </c>
      <c r="B16" s="14" t="s">
        <v>1169</v>
      </c>
      <c r="C16" s="14" t="s">
        <v>8</v>
      </c>
      <c r="D16" s="14" t="s">
        <v>1106</v>
      </c>
      <c r="E16" s="14" t="s">
        <v>1112</v>
      </c>
      <c r="F16" s="14" t="s">
        <v>1170</v>
      </c>
      <c r="G16" s="14" t="s">
        <v>1171</v>
      </c>
      <c r="H16" s="14" t="s">
        <v>1172</v>
      </c>
      <c r="I16" s="19"/>
      <c r="J16" s="19" t="n">
        <v>22744000</v>
      </c>
      <c r="K16" s="14" t="s">
        <v>1173</v>
      </c>
    </row>
    <row r="17" customFormat="false" ht="15" hidden="false" customHeight="false" outlineLevel="0" collapsed="false">
      <c r="A17" s="14" t="n">
        <v>16</v>
      </c>
      <c r="B17" s="14" t="s">
        <v>1174</v>
      </c>
      <c r="C17" s="14" t="s">
        <v>10</v>
      </c>
      <c r="D17" s="14" t="s">
        <v>1106</v>
      </c>
      <c r="E17" s="14" t="s">
        <v>1112</v>
      </c>
      <c r="F17" s="14" t="s">
        <v>1175</v>
      </c>
      <c r="G17" s="14" t="s">
        <v>1176</v>
      </c>
      <c r="H17" s="14" t="s">
        <v>1177</v>
      </c>
      <c r="I17" s="19"/>
      <c r="J17" s="19" t="n">
        <v>35600000</v>
      </c>
      <c r="K17" s="14" t="s">
        <v>1178</v>
      </c>
    </row>
    <row r="18" customFormat="false" ht="32.8" hidden="false" customHeight="false" outlineLevel="0" collapsed="false">
      <c r="A18" s="14" t="n">
        <v>17</v>
      </c>
      <c r="B18" s="14" t="s">
        <v>1179</v>
      </c>
      <c r="C18" s="14" t="s">
        <v>1180</v>
      </c>
      <c r="D18" s="14" t="s">
        <v>1106</v>
      </c>
      <c r="E18" s="14" t="s">
        <v>1107</v>
      </c>
      <c r="F18" s="14" t="s">
        <v>1181</v>
      </c>
      <c r="G18" s="14" t="s">
        <v>1182</v>
      </c>
      <c r="H18" s="14" t="s">
        <v>257</v>
      </c>
      <c r="I18" s="19" t="n">
        <v>143782000</v>
      </c>
      <c r="J18" s="19"/>
      <c r="K18" s="14" t="s">
        <v>1183</v>
      </c>
    </row>
    <row r="19" customFormat="false" ht="32.8" hidden="false" customHeight="false" outlineLevel="0" collapsed="false">
      <c r="A19" s="14" t="n">
        <v>18</v>
      </c>
      <c r="B19" s="14" t="s">
        <v>1184</v>
      </c>
      <c r="C19" s="14" t="s">
        <v>1180</v>
      </c>
      <c r="D19" s="14" t="s">
        <v>1106</v>
      </c>
      <c r="E19" s="14" t="s">
        <v>1112</v>
      </c>
      <c r="F19" s="14" t="s">
        <v>1185</v>
      </c>
      <c r="G19" s="14" t="s">
        <v>1186</v>
      </c>
      <c r="H19" s="14" t="s">
        <v>257</v>
      </c>
      <c r="I19" s="19" t="n">
        <v>42476000</v>
      </c>
      <c r="J19" s="19"/>
      <c r="K19" s="14" t="s">
        <v>1187</v>
      </c>
    </row>
    <row r="20" customFormat="false" ht="32.8" hidden="false" customHeight="false" outlineLevel="0" collapsed="false">
      <c r="A20" s="14" t="n">
        <v>19</v>
      </c>
      <c r="B20" s="14" t="s">
        <v>1188</v>
      </c>
      <c r="C20" s="14" t="s">
        <v>1180</v>
      </c>
      <c r="D20" s="14" t="s">
        <v>1106</v>
      </c>
      <c r="E20" s="14" t="s">
        <v>1107</v>
      </c>
      <c r="F20" s="14" t="s">
        <v>1189</v>
      </c>
      <c r="G20" s="14" t="s">
        <v>1190</v>
      </c>
      <c r="H20" s="14" t="s">
        <v>257</v>
      </c>
      <c r="I20" s="19"/>
      <c r="J20" s="19" t="n">
        <v>27500000</v>
      </c>
      <c r="K20" s="14" t="s">
        <v>1191</v>
      </c>
    </row>
    <row r="21" customFormat="false" ht="22.35" hidden="false" customHeight="false" outlineLevel="0" collapsed="false">
      <c r="A21" s="14" t="n">
        <v>20</v>
      </c>
      <c r="B21" s="14" t="s">
        <v>1192</v>
      </c>
      <c r="C21" s="14" t="s">
        <v>1180</v>
      </c>
      <c r="D21" s="14" t="s">
        <v>1106</v>
      </c>
      <c r="E21" s="14" t="s">
        <v>1112</v>
      </c>
      <c r="F21" s="14" t="s">
        <v>1193</v>
      </c>
      <c r="G21" s="14" t="s">
        <v>1190</v>
      </c>
      <c r="H21" s="14" t="s">
        <v>1194</v>
      </c>
      <c r="I21" s="19" t="n">
        <v>31820000</v>
      </c>
      <c r="J21" s="19"/>
      <c r="K21" s="14" t="s">
        <v>1195</v>
      </c>
    </row>
    <row r="22" customFormat="false" ht="15" hidden="false" customHeight="false" outlineLevel="0" collapsed="false">
      <c r="A22" s="14" t="n">
        <v>21</v>
      </c>
      <c r="B22" s="14" t="s">
        <v>1196</v>
      </c>
      <c r="C22" s="14" t="s">
        <v>1180</v>
      </c>
      <c r="D22" s="14" t="s">
        <v>1106</v>
      </c>
      <c r="E22" s="14" t="s">
        <v>1112</v>
      </c>
      <c r="F22" s="14" t="s">
        <v>1197</v>
      </c>
      <c r="G22" s="14" t="s">
        <v>1198</v>
      </c>
      <c r="H22" s="14" t="s">
        <v>1199</v>
      </c>
      <c r="I22" s="19" t="n">
        <v>10500000</v>
      </c>
      <c r="J22" s="19"/>
      <c r="K22" s="14" t="s">
        <v>1200</v>
      </c>
    </row>
    <row r="23" customFormat="false" ht="22.35" hidden="false" customHeight="false" outlineLevel="0" collapsed="false">
      <c r="A23" s="14" t="n">
        <v>22</v>
      </c>
      <c r="B23" s="14" t="s">
        <v>1201</v>
      </c>
      <c r="C23" s="14" t="s">
        <v>21</v>
      </c>
      <c r="D23" s="14" t="s">
        <v>1106</v>
      </c>
      <c r="E23" s="14" t="s">
        <v>1112</v>
      </c>
      <c r="F23" s="14" t="s">
        <v>1202</v>
      </c>
      <c r="G23" s="14" t="s">
        <v>1203</v>
      </c>
      <c r="H23" s="14" t="s">
        <v>86</v>
      </c>
      <c r="I23" s="19" t="n">
        <v>41592000</v>
      </c>
      <c r="J23" s="19"/>
      <c r="K23" s="14" t="s">
        <v>1204</v>
      </c>
    </row>
    <row r="24" customFormat="false" ht="32.8" hidden="false" customHeight="false" outlineLevel="0" collapsed="false">
      <c r="A24" s="14" t="n">
        <v>23</v>
      </c>
      <c r="B24" s="14" t="s">
        <v>1205</v>
      </c>
      <c r="C24" s="14" t="s">
        <v>27</v>
      </c>
      <c r="D24" s="14" t="s">
        <v>1106</v>
      </c>
      <c r="E24" s="14" t="s">
        <v>1112</v>
      </c>
      <c r="F24" s="14" t="s">
        <v>1206</v>
      </c>
      <c r="G24" s="14" t="s">
        <v>1207</v>
      </c>
      <c r="H24" s="14" t="s">
        <v>226</v>
      </c>
      <c r="I24" s="19" t="n">
        <v>63060000</v>
      </c>
      <c r="J24" s="19"/>
      <c r="K24" s="14" t="s">
        <v>1208</v>
      </c>
    </row>
    <row r="25" customFormat="false" ht="32.8" hidden="false" customHeight="false" outlineLevel="0" collapsed="false">
      <c r="A25" s="14" t="n">
        <v>24</v>
      </c>
      <c r="B25" s="14" t="s">
        <v>1209</v>
      </c>
      <c r="C25" s="14" t="s">
        <v>27</v>
      </c>
      <c r="D25" s="14" t="s">
        <v>1106</v>
      </c>
      <c r="E25" s="14" t="s">
        <v>1107</v>
      </c>
      <c r="F25" s="14" t="s">
        <v>1210</v>
      </c>
      <c r="G25" s="14" t="s">
        <v>1211</v>
      </c>
      <c r="H25" s="14" t="s">
        <v>226</v>
      </c>
      <c r="I25" s="19" t="n">
        <v>56548610</v>
      </c>
      <c r="J25" s="19"/>
      <c r="K25" s="14" t="s">
        <v>1212</v>
      </c>
    </row>
    <row r="26" customFormat="false" ht="22.35" hidden="false" customHeight="false" outlineLevel="0" collapsed="false">
      <c r="A26" s="14" t="n">
        <v>25</v>
      </c>
      <c r="B26" s="14" t="s">
        <v>1213</v>
      </c>
      <c r="C26" s="14" t="s">
        <v>35</v>
      </c>
      <c r="D26" s="14" t="s">
        <v>1106</v>
      </c>
      <c r="E26" s="14" t="s">
        <v>1112</v>
      </c>
      <c r="F26" s="14" t="s">
        <v>1214</v>
      </c>
      <c r="G26" s="14" t="s">
        <v>1215</v>
      </c>
      <c r="H26" s="14" t="s">
        <v>716</v>
      </c>
      <c r="I26" s="19" t="n">
        <v>43654000</v>
      </c>
      <c r="J26" s="19"/>
      <c r="K26" s="14" t="s">
        <v>1216</v>
      </c>
    </row>
    <row r="27" customFormat="false" ht="32.8" hidden="false" customHeight="false" outlineLevel="0" collapsed="false">
      <c r="A27" s="14" t="n">
        <v>26</v>
      </c>
      <c r="B27" s="14" t="s">
        <v>1217</v>
      </c>
      <c r="C27" s="14" t="s">
        <v>1180</v>
      </c>
      <c r="D27" s="14" t="s">
        <v>1106</v>
      </c>
      <c r="E27" s="14" t="s">
        <v>1107</v>
      </c>
      <c r="F27" s="14" t="s">
        <v>1218</v>
      </c>
      <c r="G27" s="14" t="s">
        <v>1219</v>
      </c>
      <c r="H27" s="14" t="s">
        <v>257</v>
      </c>
      <c r="I27" s="19" t="n">
        <v>34850000</v>
      </c>
      <c r="J27" s="19"/>
      <c r="K27" s="14" t="s">
        <v>1220</v>
      </c>
    </row>
    <row r="28" customFormat="false" ht="32.8" hidden="false" customHeight="false" outlineLevel="0" collapsed="false">
      <c r="A28" s="14" t="n">
        <v>27</v>
      </c>
      <c r="B28" s="14" t="s">
        <v>1221</v>
      </c>
      <c r="C28" s="14" t="s">
        <v>1180</v>
      </c>
      <c r="D28" s="14" t="s">
        <v>1106</v>
      </c>
      <c r="E28" s="14" t="s">
        <v>1112</v>
      </c>
      <c r="F28" s="14" t="s">
        <v>1222</v>
      </c>
      <c r="G28" s="14" t="s">
        <v>1223</v>
      </c>
      <c r="H28" s="14" t="s">
        <v>257</v>
      </c>
      <c r="I28" s="19" t="n">
        <v>36480000</v>
      </c>
      <c r="J28" s="19"/>
      <c r="K28" s="14" t="s">
        <v>1224</v>
      </c>
    </row>
    <row r="29" customFormat="false" ht="32.8" hidden="false" customHeight="false" outlineLevel="0" collapsed="false">
      <c r="A29" s="14" t="n">
        <v>28</v>
      </c>
      <c r="B29" s="14" t="s">
        <v>1225</v>
      </c>
      <c r="C29" s="14" t="s">
        <v>1180</v>
      </c>
      <c r="D29" s="14" t="s">
        <v>1106</v>
      </c>
      <c r="E29" s="14" t="s">
        <v>1112</v>
      </c>
      <c r="F29" s="14" t="s">
        <v>1226</v>
      </c>
      <c r="G29" s="14" t="s">
        <v>1176</v>
      </c>
      <c r="H29" s="14" t="s">
        <v>257</v>
      </c>
      <c r="I29" s="19"/>
      <c r="J29" s="19" t="n">
        <v>13600000</v>
      </c>
      <c r="K29" s="14" t="s">
        <v>1152</v>
      </c>
    </row>
    <row r="30" customFormat="false" ht="22.35" hidden="false" customHeight="false" outlineLevel="0" collapsed="false">
      <c r="A30" s="14" t="n">
        <v>29</v>
      </c>
      <c r="B30" s="14" t="s">
        <v>1227</v>
      </c>
      <c r="C30" s="14" t="s">
        <v>17</v>
      </c>
      <c r="D30" s="14" t="s">
        <v>1106</v>
      </c>
      <c r="E30" s="14" t="s">
        <v>1112</v>
      </c>
      <c r="F30" s="14" t="s">
        <v>1228</v>
      </c>
      <c r="G30" s="14" t="s">
        <v>1229</v>
      </c>
      <c r="H30" s="14" t="s">
        <v>1230</v>
      </c>
      <c r="I30" s="19"/>
      <c r="J30" s="19"/>
      <c r="K30" s="14" t="s">
        <v>1231</v>
      </c>
    </row>
    <row r="31" customFormat="false" ht="32.8" hidden="false" customHeight="false" outlineLevel="0" collapsed="false">
      <c r="A31" s="14" t="n">
        <v>30</v>
      </c>
      <c r="B31" s="14" t="s">
        <v>1232</v>
      </c>
      <c r="C31" s="14" t="s">
        <v>8</v>
      </c>
      <c r="D31" s="14" t="s">
        <v>1106</v>
      </c>
      <c r="E31" s="14" t="s">
        <v>1107</v>
      </c>
      <c r="F31" s="14" t="s">
        <v>1233</v>
      </c>
      <c r="G31" s="14" t="s">
        <v>1234</v>
      </c>
      <c r="H31" s="14" t="s">
        <v>401</v>
      </c>
      <c r="I31" s="19"/>
      <c r="J31" s="19"/>
      <c r="K31" s="14" t="s">
        <v>1235</v>
      </c>
    </row>
    <row r="32" customFormat="false" ht="32.8" hidden="false" customHeight="false" outlineLevel="0" collapsed="false">
      <c r="A32" s="14" t="n">
        <v>31</v>
      </c>
      <c r="B32" s="14" t="s">
        <v>1236</v>
      </c>
      <c r="C32" s="14" t="s">
        <v>1180</v>
      </c>
      <c r="D32" s="14" t="s">
        <v>1106</v>
      </c>
      <c r="E32" s="14" t="s">
        <v>1112</v>
      </c>
      <c r="F32" s="14" t="s">
        <v>1237</v>
      </c>
      <c r="G32" s="14" t="s">
        <v>1238</v>
      </c>
      <c r="H32" s="14" t="s">
        <v>257</v>
      </c>
      <c r="I32" s="19" t="n">
        <v>43000000</v>
      </c>
      <c r="J32" s="19"/>
      <c r="K32" s="14" t="s">
        <v>1239</v>
      </c>
    </row>
    <row r="33" customFormat="false" ht="32.8" hidden="false" customHeight="false" outlineLevel="0" collapsed="false">
      <c r="A33" s="14" t="n">
        <v>32</v>
      </c>
      <c r="B33" s="14" t="s">
        <v>1240</v>
      </c>
      <c r="C33" s="14" t="s">
        <v>10</v>
      </c>
      <c r="D33" s="14" t="s">
        <v>1106</v>
      </c>
      <c r="E33" s="14" t="s">
        <v>1112</v>
      </c>
      <c r="F33" s="14" t="s">
        <v>1241</v>
      </c>
      <c r="G33" s="14" t="s">
        <v>1242</v>
      </c>
      <c r="H33" s="14" t="s">
        <v>171</v>
      </c>
      <c r="I33" s="19" t="n">
        <v>75808000</v>
      </c>
      <c r="J33" s="19"/>
      <c r="K33" s="14" t="s">
        <v>1243</v>
      </c>
    </row>
    <row r="34" customFormat="false" ht="22.35" hidden="false" customHeight="false" outlineLevel="0" collapsed="false">
      <c r="A34" s="14" t="n">
        <v>33</v>
      </c>
      <c r="B34" s="14" t="s">
        <v>1244</v>
      </c>
      <c r="C34" s="14" t="s">
        <v>17</v>
      </c>
      <c r="D34" s="14" t="s">
        <v>1106</v>
      </c>
      <c r="E34" s="14" t="s">
        <v>1112</v>
      </c>
      <c r="F34" s="14" t="s">
        <v>1245</v>
      </c>
      <c r="G34" s="14" t="s">
        <v>1176</v>
      </c>
      <c r="H34" s="14" t="s">
        <v>198</v>
      </c>
      <c r="I34" s="19" t="n">
        <v>36574000</v>
      </c>
      <c r="J34" s="19"/>
      <c r="K34" s="14" t="s">
        <v>1231</v>
      </c>
    </row>
    <row r="35" customFormat="false" ht="15" hidden="false" customHeight="false" outlineLevel="0" collapsed="false">
      <c r="B35" s="20" t="s">
        <v>13</v>
      </c>
      <c r="I35" s="21" t="n">
        <f aca="false">SUM(I2:I34)</f>
        <v>3696151810</v>
      </c>
      <c r="J35" s="21" t="n">
        <f aca="false">SUM(J2:J34)</f>
        <v>852411200</v>
      </c>
    </row>
    <row r="37" customFormat="false" ht="15" hidden="false" customHeight="false" outlineLevel="0" collapsed="false">
      <c r="B37" s="12" t="s">
        <v>1246</v>
      </c>
    </row>
  </sheetData>
  <autoFilter ref="A1:K34"/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9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22"/>
    <col collapsed="false" customWidth="true" hidden="false" outlineLevel="0" max="15" min="15" style="0" width="40"/>
    <col collapsed="false" customWidth="true" hidden="false" outlineLevel="0" max="16" min="16" style="0" width="36"/>
  </cols>
  <sheetData>
    <row r="1" customFormat="false" ht="33.75" hidden="false" customHeight="true" outlineLevel="0" collapsed="false">
      <c r="A1" s="13" t="s">
        <v>1247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1248</v>
      </c>
      <c r="G1" s="13" t="s">
        <v>49</v>
      </c>
      <c r="H1" s="13" t="s">
        <v>1083</v>
      </c>
      <c r="I1" s="13" t="s">
        <v>1099</v>
      </c>
      <c r="J1" s="13" t="s">
        <v>1249</v>
      </c>
      <c r="K1" s="13" t="s">
        <v>1250</v>
      </c>
      <c r="L1" s="13" t="s">
        <v>1251</v>
      </c>
      <c r="M1" s="13" t="s">
        <v>1252</v>
      </c>
      <c r="N1" s="13" t="s">
        <v>1253</v>
      </c>
      <c r="O1" s="13" t="s">
        <v>1254</v>
      </c>
      <c r="P1" s="13" t="s">
        <v>56</v>
      </c>
    </row>
    <row r="2" customFormat="false" ht="22.35" hidden="false" customHeight="false" outlineLevel="0" collapsed="false">
      <c r="A2" s="14" t="s">
        <v>1255</v>
      </c>
      <c r="B2" s="14" t="s">
        <v>448</v>
      </c>
      <c r="C2" s="14"/>
      <c r="D2" s="14" t="s">
        <v>19</v>
      </c>
      <c r="E2" s="14" t="s">
        <v>449</v>
      </c>
      <c r="F2" s="14" t="s">
        <v>215</v>
      </c>
      <c r="G2" s="14" t="s">
        <v>77</v>
      </c>
      <c r="H2" s="14" t="s">
        <v>1084</v>
      </c>
      <c r="I2" s="14" t="s">
        <v>1256</v>
      </c>
      <c r="J2" s="17" t="n">
        <v>2</v>
      </c>
      <c r="K2" s="14"/>
      <c r="L2" s="14"/>
      <c r="M2" s="14"/>
      <c r="N2" s="14"/>
      <c r="O2" s="14" t="s">
        <v>1257</v>
      </c>
      <c r="P2" s="14"/>
    </row>
    <row r="3" customFormat="false" ht="22.35" hidden="false" customHeight="false" outlineLevel="0" collapsed="false">
      <c r="A3" s="14" t="s">
        <v>1258</v>
      </c>
      <c r="B3" s="14" t="s">
        <v>452</v>
      </c>
      <c r="C3" s="14" t="s">
        <v>453</v>
      </c>
      <c r="D3" s="14" t="s">
        <v>19</v>
      </c>
      <c r="E3" s="14" t="s">
        <v>454</v>
      </c>
      <c r="F3" s="14" t="s">
        <v>455</v>
      </c>
      <c r="G3" s="14" t="s">
        <v>63</v>
      </c>
      <c r="H3" s="14" t="s">
        <v>1084</v>
      </c>
      <c r="I3" s="14" t="s">
        <v>1256</v>
      </c>
      <c r="J3" s="17" t="n">
        <v>2</v>
      </c>
      <c r="K3" s="14"/>
      <c r="L3" s="14"/>
      <c r="M3" s="14"/>
      <c r="N3" s="14"/>
      <c r="O3" s="14" t="s">
        <v>1259</v>
      </c>
      <c r="P3" s="14"/>
    </row>
    <row r="4" customFormat="false" ht="22.35" hidden="false" customHeight="false" outlineLevel="0" collapsed="false">
      <c r="A4" s="14" t="s">
        <v>1260</v>
      </c>
      <c r="B4" s="14" t="s">
        <v>456</v>
      </c>
      <c r="C4" s="14"/>
      <c r="D4" s="14" t="s">
        <v>19</v>
      </c>
      <c r="E4" s="14" t="s">
        <v>457</v>
      </c>
      <c r="F4" s="14" t="s">
        <v>306</v>
      </c>
      <c r="G4" s="14" t="s">
        <v>307</v>
      </c>
      <c r="H4" s="14" t="s">
        <v>1084</v>
      </c>
      <c r="I4" s="14" t="s">
        <v>1256</v>
      </c>
      <c r="J4" s="17" t="n">
        <v>2</v>
      </c>
      <c r="K4" s="14"/>
      <c r="L4" s="14"/>
      <c r="M4" s="14"/>
      <c r="N4" s="14"/>
      <c r="O4" s="14" t="s">
        <v>1257</v>
      </c>
      <c r="P4" s="14"/>
    </row>
    <row r="5" customFormat="false" ht="22.35" hidden="false" customHeight="false" outlineLevel="0" collapsed="false">
      <c r="A5" s="14" t="s">
        <v>1261</v>
      </c>
      <c r="B5" s="14" t="s">
        <v>458</v>
      </c>
      <c r="C5" s="14" t="s">
        <v>459</v>
      </c>
      <c r="D5" s="14" t="s">
        <v>19</v>
      </c>
      <c r="E5" s="14" t="s">
        <v>460</v>
      </c>
      <c r="F5" s="14" t="s">
        <v>215</v>
      </c>
      <c r="G5" s="14" t="s">
        <v>77</v>
      </c>
      <c r="H5" s="14" t="s">
        <v>1084</v>
      </c>
      <c r="I5" s="14" t="s">
        <v>1256</v>
      </c>
      <c r="J5" s="17" t="n">
        <v>2</v>
      </c>
      <c r="K5" s="14"/>
      <c r="L5" s="14"/>
      <c r="M5" s="14"/>
      <c r="N5" s="14"/>
      <c r="O5" s="14" t="s">
        <v>1259</v>
      </c>
      <c r="P5" s="14"/>
    </row>
    <row r="6" customFormat="false" ht="22.35" hidden="false" customHeight="false" outlineLevel="0" collapsed="false">
      <c r="A6" s="14" t="s">
        <v>1262</v>
      </c>
      <c r="B6" s="14" t="s">
        <v>461</v>
      </c>
      <c r="C6" s="14" t="s">
        <v>462</v>
      </c>
      <c r="D6" s="14" t="s">
        <v>19</v>
      </c>
      <c r="E6" s="14" t="s">
        <v>463</v>
      </c>
      <c r="F6" s="14" t="s">
        <v>215</v>
      </c>
      <c r="G6" s="14" t="s">
        <v>77</v>
      </c>
      <c r="H6" s="14" t="s">
        <v>1084</v>
      </c>
      <c r="I6" s="14" t="s">
        <v>1256</v>
      </c>
      <c r="J6" s="17" t="n">
        <v>2</v>
      </c>
      <c r="K6" s="14"/>
      <c r="L6" s="14"/>
      <c r="M6" s="14"/>
      <c r="N6" s="14"/>
      <c r="O6" s="14" t="s">
        <v>1259</v>
      </c>
      <c r="P6" s="14"/>
    </row>
    <row r="7" customFormat="false" ht="22.35" hidden="false" customHeight="false" outlineLevel="0" collapsed="false">
      <c r="A7" s="14" t="s">
        <v>1263</v>
      </c>
      <c r="B7" s="14" t="s">
        <v>59</v>
      </c>
      <c r="C7" s="14" t="s">
        <v>60</v>
      </c>
      <c r="D7" s="14" t="s">
        <v>19</v>
      </c>
      <c r="E7" s="14" t="s">
        <v>61</v>
      </c>
      <c r="F7" s="14" t="s">
        <v>62</v>
      </c>
      <c r="G7" s="14" t="s">
        <v>63</v>
      </c>
      <c r="H7" s="14" t="s">
        <v>1084</v>
      </c>
      <c r="I7" s="14" t="s">
        <v>1256</v>
      </c>
      <c r="J7" s="15" t="n">
        <v>1</v>
      </c>
      <c r="K7" s="14"/>
      <c r="L7" s="14"/>
      <c r="M7" s="14"/>
      <c r="N7" s="14"/>
      <c r="O7" s="14" t="s">
        <v>1259</v>
      </c>
      <c r="P7" s="14" t="s">
        <v>70</v>
      </c>
    </row>
    <row r="8" customFormat="false" ht="22.35" hidden="false" customHeight="false" outlineLevel="0" collapsed="false">
      <c r="A8" s="14" t="s">
        <v>1264</v>
      </c>
      <c r="B8" s="14" t="s">
        <v>464</v>
      </c>
      <c r="C8" s="14" t="s">
        <v>465</v>
      </c>
      <c r="D8" s="14" t="s">
        <v>19</v>
      </c>
      <c r="E8" s="14" t="s">
        <v>61</v>
      </c>
      <c r="F8" s="14" t="s">
        <v>135</v>
      </c>
      <c r="G8" s="14" t="s">
        <v>63</v>
      </c>
      <c r="H8" s="14" t="s">
        <v>1084</v>
      </c>
      <c r="I8" s="14" t="s">
        <v>1256</v>
      </c>
      <c r="J8" s="17" t="n">
        <v>2</v>
      </c>
      <c r="K8" s="14"/>
      <c r="L8" s="14"/>
      <c r="M8" s="14"/>
      <c r="N8" s="14"/>
      <c r="O8" s="14" t="s">
        <v>1259</v>
      </c>
      <c r="P8" s="14" t="s">
        <v>466</v>
      </c>
    </row>
    <row r="9" customFormat="false" ht="22.35" hidden="false" customHeight="false" outlineLevel="0" collapsed="false">
      <c r="A9" s="14" t="s">
        <v>1265</v>
      </c>
      <c r="B9" s="14" t="s">
        <v>73</v>
      </c>
      <c r="C9" s="14" t="s">
        <v>74</v>
      </c>
      <c r="D9" s="14" t="s">
        <v>19</v>
      </c>
      <c r="E9" s="14" t="s">
        <v>75</v>
      </c>
      <c r="F9" s="14" t="s">
        <v>76</v>
      </c>
      <c r="G9" s="14" t="s">
        <v>77</v>
      </c>
      <c r="H9" s="14" t="s">
        <v>1084</v>
      </c>
      <c r="I9" s="14" t="s">
        <v>1256</v>
      </c>
      <c r="J9" s="15" t="n">
        <v>1</v>
      </c>
      <c r="K9" s="14"/>
      <c r="L9" s="14"/>
      <c r="M9" s="14"/>
      <c r="N9" s="14"/>
      <c r="O9" s="14" t="s">
        <v>1259</v>
      </c>
      <c r="P9" s="14"/>
    </row>
    <row r="10" customFormat="false" ht="22.35" hidden="false" customHeight="false" outlineLevel="0" collapsed="false">
      <c r="A10" s="14" t="s">
        <v>1266</v>
      </c>
      <c r="B10" s="14" t="s">
        <v>467</v>
      </c>
      <c r="C10" s="14" t="s">
        <v>468</v>
      </c>
      <c r="D10" s="14" t="s">
        <v>19</v>
      </c>
      <c r="E10" s="14" t="s">
        <v>61</v>
      </c>
      <c r="F10" s="14" t="s">
        <v>469</v>
      </c>
      <c r="G10" s="14" t="s">
        <v>77</v>
      </c>
      <c r="H10" s="14" t="s">
        <v>1084</v>
      </c>
      <c r="I10" s="14" t="s">
        <v>1256</v>
      </c>
      <c r="J10" s="17" t="n">
        <v>2</v>
      </c>
      <c r="K10" s="14"/>
      <c r="L10" s="14"/>
      <c r="M10" s="14"/>
      <c r="N10" s="14"/>
      <c r="O10" s="14" t="s">
        <v>1259</v>
      </c>
      <c r="P10" s="14" t="s">
        <v>470</v>
      </c>
    </row>
    <row r="11" customFormat="false" ht="22.35" hidden="false" customHeight="false" outlineLevel="0" collapsed="false">
      <c r="A11" s="14" t="s">
        <v>1267</v>
      </c>
      <c r="B11" s="14" t="s">
        <v>471</v>
      </c>
      <c r="C11" s="14"/>
      <c r="D11" s="14" t="s">
        <v>19</v>
      </c>
      <c r="E11" s="14" t="s">
        <v>472</v>
      </c>
      <c r="F11" s="14" t="s">
        <v>215</v>
      </c>
      <c r="G11" s="14" t="s">
        <v>77</v>
      </c>
      <c r="H11" s="14" t="s">
        <v>1084</v>
      </c>
      <c r="I11" s="14" t="s">
        <v>1256</v>
      </c>
      <c r="J11" s="17" t="n">
        <v>2</v>
      </c>
      <c r="K11" s="14"/>
      <c r="L11" s="14"/>
      <c r="M11" s="14"/>
      <c r="N11" s="14"/>
      <c r="O11" s="14" t="s">
        <v>1257</v>
      </c>
      <c r="P11" s="14"/>
    </row>
    <row r="12" customFormat="false" ht="22.35" hidden="false" customHeight="false" outlineLevel="0" collapsed="false">
      <c r="A12" s="14" t="s">
        <v>1268</v>
      </c>
      <c r="B12" s="14" t="s">
        <v>473</v>
      </c>
      <c r="C12" s="14" t="s">
        <v>474</v>
      </c>
      <c r="D12" s="14" t="s">
        <v>19</v>
      </c>
      <c r="E12" s="14" t="s">
        <v>61</v>
      </c>
      <c r="F12" s="14" t="s">
        <v>215</v>
      </c>
      <c r="G12" s="14" t="s">
        <v>77</v>
      </c>
      <c r="H12" s="14" t="s">
        <v>1084</v>
      </c>
      <c r="I12" s="14" t="s">
        <v>1256</v>
      </c>
      <c r="J12" s="17" t="n">
        <v>2</v>
      </c>
      <c r="K12" s="14"/>
      <c r="L12" s="14"/>
      <c r="M12" s="14"/>
      <c r="N12" s="14"/>
      <c r="O12" s="14" t="s">
        <v>1259</v>
      </c>
      <c r="P12" s="14"/>
    </row>
    <row r="13" customFormat="false" ht="22.35" hidden="false" customHeight="false" outlineLevel="0" collapsed="false">
      <c r="A13" s="14" t="s">
        <v>1269</v>
      </c>
      <c r="B13" s="14" t="s">
        <v>475</v>
      </c>
      <c r="C13" s="14" t="s">
        <v>476</v>
      </c>
      <c r="D13" s="14" t="s">
        <v>19</v>
      </c>
      <c r="E13" s="14" t="s">
        <v>454</v>
      </c>
      <c r="F13" s="14" t="s">
        <v>62</v>
      </c>
      <c r="G13" s="14" t="s">
        <v>63</v>
      </c>
      <c r="H13" s="14" t="s">
        <v>1084</v>
      </c>
      <c r="I13" s="14" t="s">
        <v>1256</v>
      </c>
      <c r="J13" s="17" t="n">
        <v>2</v>
      </c>
      <c r="K13" s="14"/>
      <c r="L13" s="14"/>
      <c r="M13" s="14"/>
      <c r="N13" s="14"/>
      <c r="O13" s="14" t="s">
        <v>1259</v>
      </c>
      <c r="P13" s="14"/>
    </row>
    <row r="14" customFormat="false" ht="22.35" hidden="false" customHeight="false" outlineLevel="0" collapsed="false">
      <c r="A14" s="14" t="s">
        <v>1270</v>
      </c>
      <c r="B14" s="14" t="s">
        <v>477</v>
      </c>
      <c r="C14" s="14"/>
      <c r="D14" s="14" t="s">
        <v>19</v>
      </c>
      <c r="E14" s="14" t="s">
        <v>478</v>
      </c>
      <c r="F14" s="14" t="s">
        <v>188</v>
      </c>
      <c r="G14" s="14" t="s">
        <v>63</v>
      </c>
      <c r="H14" s="14" t="s">
        <v>1084</v>
      </c>
      <c r="I14" s="14" t="s">
        <v>1256</v>
      </c>
      <c r="J14" s="17" t="n">
        <v>2</v>
      </c>
      <c r="K14" s="14"/>
      <c r="L14" s="14"/>
      <c r="M14" s="14"/>
      <c r="N14" s="14"/>
      <c r="O14" s="14" t="s">
        <v>1259</v>
      </c>
      <c r="P14" s="14"/>
    </row>
    <row r="15" customFormat="false" ht="22.35" hidden="false" customHeight="false" outlineLevel="0" collapsed="false">
      <c r="A15" s="14" t="s">
        <v>1271</v>
      </c>
      <c r="B15" s="14" t="s">
        <v>479</v>
      </c>
      <c r="C15" s="14" t="s">
        <v>480</v>
      </c>
      <c r="D15" s="14" t="s">
        <v>19</v>
      </c>
      <c r="E15" s="14" t="s">
        <v>61</v>
      </c>
      <c r="F15" s="14" t="s">
        <v>62</v>
      </c>
      <c r="G15" s="14" t="s">
        <v>63</v>
      </c>
      <c r="H15" s="14" t="s">
        <v>1084</v>
      </c>
      <c r="I15" s="14" t="s">
        <v>1256</v>
      </c>
      <c r="J15" s="17" t="n">
        <v>2</v>
      </c>
      <c r="K15" s="14"/>
      <c r="L15" s="14"/>
      <c r="M15" s="14"/>
      <c r="N15" s="14"/>
      <c r="O15" s="14" t="s">
        <v>1259</v>
      </c>
      <c r="P15" s="14"/>
    </row>
    <row r="16" customFormat="false" ht="22.35" hidden="false" customHeight="false" outlineLevel="0" collapsed="false">
      <c r="A16" s="14" t="s">
        <v>1272</v>
      </c>
      <c r="B16" s="14" t="s">
        <v>481</v>
      </c>
      <c r="C16" s="14" t="s">
        <v>482</v>
      </c>
      <c r="D16" s="14" t="s">
        <v>19</v>
      </c>
      <c r="E16" s="14" t="s">
        <v>483</v>
      </c>
      <c r="F16" s="14" t="s">
        <v>76</v>
      </c>
      <c r="G16" s="14" t="s">
        <v>77</v>
      </c>
      <c r="H16" s="14" t="s">
        <v>1084</v>
      </c>
      <c r="I16" s="14" t="s">
        <v>1256</v>
      </c>
      <c r="J16" s="17" t="n">
        <v>2</v>
      </c>
      <c r="K16" s="14"/>
      <c r="L16" s="14"/>
      <c r="M16" s="14"/>
      <c r="N16" s="14"/>
      <c r="O16" s="14" t="s">
        <v>1273</v>
      </c>
      <c r="P16" s="14"/>
    </row>
    <row r="17" customFormat="false" ht="22.35" hidden="false" customHeight="false" outlineLevel="0" collapsed="false">
      <c r="A17" s="14" t="s">
        <v>1274</v>
      </c>
      <c r="B17" s="14" t="s">
        <v>484</v>
      </c>
      <c r="C17" s="14" t="s">
        <v>60</v>
      </c>
      <c r="D17" s="14" t="s">
        <v>39</v>
      </c>
      <c r="E17" s="14" t="s">
        <v>485</v>
      </c>
      <c r="F17" s="14" t="s">
        <v>215</v>
      </c>
      <c r="G17" s="14" t="s">
        <v>77</v>
      </c>
      <c r="H17" s="14" t="s">
        <v>1084</v>
      </c>
      <c r="I17" s="14" t="s">
        <v>1256</v>
      </c>
      <c r="J17" s="17" t="n">
        <v>2</v>
      </c>
      <c r="K17" s="14"/>
      <c r="L17" s="14"/>
      <c r="M17" s="14"/>
      <c r="N17" s="14"/>
      <c r="O17" s="14" t="s">
        <v>1259</v>
      </c>
      <c r="P17" s="14" t="s">
        <v>70</v>
      </c>
    </row>
    <row r="18" customFormat="false" ht="22.35" hidden="false" customHeight="false" outlineLevel="0" collapsed="false">
      <c r="A18" s="14" t="s">
        <v>1275</v>
      </c>
      <c r="B18" s="14" t="s">
        <v>489</v>
      </c>
      <c r="C18" s="14"/>
      <c r="D18" s="14" t="s">
        <v>39</v>
      </c>
      <c r="E18" s="14" t="s">
        <v>485</v>
      </c>
      <c r="F18" s="14" t="s">
        <v>215</v>
      </c>
      <c r="G18" s="14" t="s">
        <v>77</v>
      </c>
      <c r="H18" s="14" t="s">
        <v>1084</v>
      </c>
      <c r="I18" s="14" t="s">
        <v>1256</v>
      </c>
      <c r="J18" s="17" t="n">
        <v>2</v>
      </c>
      <c r="K18" s="14"/>
      <c r="L18" s="14"/>
      <c r="M18" s="14"/>
      <c r="N18" s="14"/>
      <c r="O18" s="14" t="s">
        <v>1259</v>
      </c>
      <c r="P18" s="14"/>
    </row>
    <row r="19" customFormat="false" ht="15" hidden="false" customHeight="false" outlineLevel="0" collapsed="false">
      <c r="A19" s="14" t="s">
        <v>1276</v>
      </c>
      <c r="B19" s="14" t="s">
        <v>1277</v>
      </c>
      <c r="C19" s="14"/>
      <c r="D19" s="14" t="s">
        <v>21</v>
      </c>
      <c r="E19" s="14" t="s">
        <v>21</v>
      </c>
      <c r="F19" s="14"/>
      <c r="G19" s="14"/>
      <c r="H19" s="14" t="s">
        <v>1278</v>
      </c>
      <c r="I19" s="14" t="s">
        <v>1256</v>
      </c>
      <c r="J19" s="14"/>
      <c r="K19" s="14"/>
      <c r="L19" s="14"/>
      <c r="M19" s="14"/>
      <c r="N19" s="14"/>
      <c r="O19" s="14" t="s">
        <v>1279</v>
      </c>
      <c r="P19" s="14"/>
    </row>
    <row r="20" customFormat="false" ht="22.35" hidden="false" customHeight="false" outlineLevel="0" collapsed="false">
      <c r="A20" s="14" t="s">
        <v>1280</v>
      </c>
      <c r="B20" s="14" t="s">
        <v>1281</v>
      </c>
      <c r="C20" s="14" t="s">
        <v>465</v>
      </c>
      <c r="D20" s="14" t="s">
        <v>21</v>
      </c>
      <c r="E20" s="14" t="s">
        <v>21</v>
      </c>
      <c r="F20" s="14" t="s">
        <v>1282</v>
      </c>
      <c r="G20" s="14" t="s">
        <v>63</v>
      </c>
      <c r="H20" s="14" t="s">
        <v>1278</v>
      </c>
      <c r="I20" s="14" t="s">
        <v>1256</v>
      </c>
      <c r="J20" s="14"/>
      <c r="K20" s="14"/>
      <c r="L20" s="14"/>
      <c r="M20" s="14"/>
      <c r="N20" s="14"/>
      <c r="O20" s="14" t="s">
        <v>1279</v>
      </c>
      <c r="P20" s="14"/>
    </row>
    <row r="21" customFormat="false" ht="15" hidden="false" customHeight="false" outlineLevel="0" collapsed="false">
      <c r="A21" s="14" t="s">
        <v>1283</v>
      </c>
      <c r="B21" s="14" t="s">
        <v>1284</v>
      </c>
      <c r="C21" s="14"/>
      <c r="D21" s="14" t="s">
        <v>21</v>
      </c>
      <c r="E21" s="14" t="s">
        <v>21</v>
      </c>
      <c r="F21" s="14"/>
      <c r="G21" s="14"/>
      <c r="H21" s="14" t="s">
        <v>1278</v>
      </c>
      <c r="I21" s="14" t="s">
        <v>1256</v>
      </c>
      <c r="J21" s="14"/>
      <c r="K21" s="14"/>
      <c r="L21" s="14"/>
      <c r="M21" s="14"/>
      <c r="N21" s="14"/>
      <c r="O21" s="14" t="s">
        <v>1279</v>
      </c>
      <c r="P21" s="14"/>
    </row>
    <row r="22" customFormat="false" ht="22.35" hidden="false" customHeight="false" outlineLevel="0" collapsed="false">
      <c r="A22" s="14" t="s">
        <v>1285</v>
      </c>
      <c r="B22" s="14" t="s">
        <v>1286</v>
      </c>
      <c r="C22" s="14"/>
      <c r="D22" s="14" t="s">
        <v>21</v>
      </c>
      <c r="E22" s="14" t="s">
        <v>21</v>
      </c>
      <c r="F22" s="14"/>
      <c r="G22" s="14"/>
      <c r="H22" s="14" t="s">
        <v>1278</v>
      </c>
      <c r="I22" s="14" t="s">
        <v>1287</v>
      </c>
      <c r="J22" s="14"/>
      <c r="K22" s="14"/>
      <c r="L22" s="14"/>
      <c r="M22" s="14"/>
      <c r="N22" s="14"/>
      <c r="O22" s="14" t="s">
        <v>1279</v>
      </c>
      <c r="P22" s="14" t="s">
        <v>1288</v>
      </c>
    </row>
    <row r="23" customFormat="false" ht="15" hidden="false" customHeight="false" outlineLevel="0" collapsed="false">
      <c r="A23" s="14" t="s">
        <v>1289</v>
      </c>
      <c r="B23" s="14" t="s">
        <v>1290</v>
      </c>
      <c r="C23" s="14"/>
      <c r="D23" s="14" t="s">
        <v>21</v>
      </c>
      <c r="E23" s="14" t="s">
        <v>21</v>
      </c>
      <c r="F23" s="14"/>
      <c r="G23" s="14"/>
      <c r="H23" s="14" t="s">
        <v>1278</v>
      </c>
      <c r="I23" s="14" t="s">
        <v>1291</v>
      </c>
      <c r="J23" s="14"/>
      <c r="K23" s="14"/>
      <c r="L23" s="14"/>
      <c r="M23" s="14"/>
      <c r="N23" s="14"/>
      <c r="O23" s="14" t="s">
        <v>1279</v>
      </c>
      <c r="P23" s="14"/>
    </row>
    <row r="24" customFormat="false" ht="15" hidden="false" customHeight="false" outlineLevel="0" collapsed="false">
      <c r="A24" s="14" t="s">
        <v>1292</v>
      </c>
      <c r="B24" s="14" t="s">
        <v>1293</v>
      </c>
      <c r="C24" s="14"/>
      <c r="D24" s="14" t="s">
        <v>21</v>
      </c>
      <c r="E24" s="14" t="s">
        <v>21</v>
      </c>
      <c r="F24" s="14"/>
      <c r="G24" s="14"/>
      <c r="H24" s="14" t="s">
        <v>1278</v>
      </c>
      <c r="I24" s="14" t="s">
        <v>1256</v>
      </c>
      <c r="J24" s="14"/>
      <c r="K24" s="14"/>
      <c r="L24" s="14"/>
      <c r="M24" s="14"/>
      <c r="N24" s="14"/>
      <c r="O24" s="14" t="s">
        <v>1279</v>
      </c>
      <c r="P24" s="14"/>
    </row>
    <row r="25" customFormat="false" ht="15" hidden="false" customHeight="false" outlineLevel="0" collapsed="false">
      <c r="A25" s="14" t="s">
        <v>1294</v>
      </c>
      <c r="B25" s="14" t="s">
        <v>1295</v>
      </c>
      <c r="C25" s="14"/>
      <c r="D25" s="14" t="s">
        <v>21</v>
      </c>
      <c r="E25" s="14" t="s">
        <v>21</v>
      </c>
      <c r="F25" s="14"/>
      <c r="G25" s="14"/>
      <c r="H25" s="14" t="s">
        <v>1278</v>
      </c>
      <c r="I25" s="14" t="s">
        <v>1256</v>
      </c>
      <c r="J25" s="14"/>
      <c r="K25" s="14"/>
      <c r="L25" s="14"/>
      <c r="M25" s="14"/>
      <c r="N25" s="14"/>
      <c r="O25" s="14" t="s">
        <v>1279</v>
      </c>
      <c r="P25" s="14"/>
    </row>
    <row r="26" customFormat="false" ht="15" hidden="false" customHeight="false" outlineLevel="0" collapsed="false">
      <c r="A26" s="14" t="s">
        <v>1296</v>
      </c>
      <c r="B26" s="14" t="s">
        <v>1297</v>
      </c>
      <c r="C26" s="14"/>
      <c r="D26" s="14" t="s">
        <v>21</v>
      </c>
      <c r="E26" s="14" t="s">
        <v>21</v>
      </c>
      <c r="F26" s="14"/>
      <c r="G26" s="14"/>
      <c r="H26" s="14" t="s">
        <v>1278</v>
      </c>
      <c r="I26" s="14" t="s">
        <v>1291</v>
      </c>
      <c r="J26" s="14"/>
      <c r="K26" s="14"/>
      <c r="L26" s="14"/>
      <c r="M26" s="14"/>
      <c r="N26" s="14"/>
      <c r="O26" s="14" t="s">
        <v>1279</v>
      </c>
      <c r="P26" s="14"/>
    </row>
    <row r="27" customFormat="false" ht="15" hidden="false" customHeight="false" outlineLevel="0" collapsed="false">
      <c r="A27" s="14" t="s">
        <v>1298</v>
      </c>
      <c r="B27" s="14" t="s">
        <v>1299</v>
      </c>
      <c r="C27" s="14"/>
      <c r="D27" s="14" t="s">
        <v>21</v>
      </c>
      <c r="E27" s="14" t="s">
        <v>21</v>
      </c>
      <c r="F27" s="14"/>
      <c r="G27" s="14"/>
      <c r="H27" s="14" t="s">
        <v>1278</v>
      </c>
      <c r="I27" s="14" t="s">
        <v>1256</v>
      </c>
      <c r="J27" s="14"/>
      <c r="K27" s="14"/>
      <c r="L27" s="14"/>
      <c r="M27" s="14"/>
      <c r="N27" s="14"/>
      <c r="O27" s="14" t="s">
        <v>1279</v>
      </c>
      <c r="P27" s="14"/>
    </row>
    <row r="28" customFormat="false" ht="15" hidden="false" customHeight="false" outlineLevel="0" collapsed="false">
      <c r="A28" s="14" t="s">
        <v>1300</v>
      </c>
      <c r="B28" s="14" t="s">
        <v>1301</v>
      </c>
      <c r="C28" s="14"/>
      <c r="D28" s="14" t="s">
        <v>21</v>
      </c>
      <c r="E28" s="14" t="s">
        <v>21</v>
      </c>
      <c r="F28" s="14"/>
      <c r="G28" s="14"/>
      <c r="H28" s="14" t="s">
        <v>1278</v>
      </c>
      <c r="I28" s="14" t="s">
        <v>1291</v>
      </c>
      <c r="J28" s="14"/>
      <c r="K28" s="14"/>
      <c r="L28" s="14"/>
      <c r="M28" s="14"/>
      <c r="N28" s="14"/>
      <c r="O28" s="14" t="s">
        <v>1279</v>
      </c>
      <c r="P28" s="14"/>
    </row>
    <row r="29" customFormat="false" ht="22.35" hidden="false" customHeight="false" outlineLevel="0" collapsed="false">
      <c r="A29" s="14" t="s">
        <v>1302</v>
      </c>
      <c r="B29" s="14" t="s">
        <v>1303</v>
      </c>
      <c r="C29" s="14"/>
      <c r="D29" s="14" t="s">
        <v>21</v>
      </c>
      <c r="E29" s="14" t="s">
        <v>21</v>
      </c>
      <c r="F29" s="14"/>
      <c r="G29" s="14"/>
      <c r="H29" s="14" t="s">
        <v>1278</v>
      </c>
      <c r="I29" s="14" t="s">
        <v>1287</v>
      </c>
      <c r="J29" s="14"/>
      <c r="K29" s="14"/>
      <c r="L29" s="14"/>
      <c r="M29" s="14"/>
      <c r="N29" s="14"/>
      <c r="O29" s="14" t="s">
        <v>1279</v>
      </c>
      <c r="P29" s="14"/>
    </row>
    <row r="30" customFormat="false" ht="22.35" hidden="false" customHeight="false" outlineLevel="0" collapsed="false">
      <c r="A30" s="14" t="s">
        <v>1304</v>
      </c>
      <c r="B30" s="14" t="s">
        <v>81</v>
      </c>
      <c r="C30" s="14"/>
      <c r="D30" s="14" t="s">
        <v>21</v>
      </c>
      <c r="E30" s="14" t="s">
        <v>82</v>
      </c>
      <c r="F30" s="14" t="s">
        <v>83</v>
      </c>
      <c r="G30" s="14" t="s">
        <v>63</v>
      </c>
      <c r="H30" s="14" t="s">
        <v>1084</v>
      </c>
      <c r="I30" s="14" t="s">
        <v>1256</v>
      </c>
      <c r="J30" s="15" t="n">
        <v>1</v>
      </c>
      <c r="K30" s="14"/>
      <c r="L30" s="14"/>
      <c r="M30" s="14"/>
      <c r="N30" s="14"/>
      <c r="O30" s="14" t="s">
        <v>1305</v>
      </c>
      <c r="P30" s="14"/>
    </row>
    <row r="31" customFormat="false" ht="22.35" hidden="false" customHeight="false" outlineLevel="0" collapsed="false">
      <c r="A31" s="14" t="s">
        <v>1306</v>
      </c>
      <c r="B31" s="14" t="s">
        <v>92</v>
      </c>
      <c r="C31" s="14" t="s">
        <v>93</v>
      </c>
      <c r="D31" s="14" t="s">
        <v>21</v>
      </c>
      <c r="E31" s="14" t="s">
        <v>94</v>
      </c>
      <c r="F31" s="14" t="s">
        <v>95</v>
      </c>
      <c r="G31" s="14" t="s">
        <v>63</v>
      </c>
      <c r="H31" s="14" t="s">
        <v>1084</v>
      </c>
      <c r="I31" s="14" t="s">
        <v>1256</v>
      </c>
      <c r="J31" s="15" t="n">
        <v>1</v>
      </c>
      <c r="K31" s="14"/>
      <c r="L31" s="14"/>
      <c r="M31" s="14"/>
      <c r="N31" s="14"/>
      <c r="O31" s="14" t="s">
        <v>1259</v>
      </c>
      <c r="P31" s="14"/>
    </row>
    <row r="32" customFormat="false" ht="22.35" hidden="false" customHeight="false" outlineLevel="0" collapsed="false">
      <c r="A32" s="14" t="s">
        <v>1307</v>
      </c>
      <c r="B32" s="14" t="s">
        <v>98</v>
      </c>
      <c r="C32" s="14"/>
      <c r="D32" s="14" t="s">
        <v>21</v>
      </c>
      <c r="E32" s="14" t="s">
        <v>82</v>
      </c>
      <c r="F32" s="14" t="s">
        <v>83</v>
      </c>
      <c r="G32" s="14" t="s">
        <v>63</v>
      </c>
      <c r="H32" s="14" t="s">
        <v>1084</v>
      </c>
      <c r="I32" s="14" t="s">
        <v>1256</v>
      </c>
      <c r="J32" s="15" t="n">
        <v>1</v>
      </c>
      <c r="K32" s="14"/>
      <c r="L32" s="14"/>
      <c r="M32" s="14"/>
      <c r="N32" s="14"/>
      <c r="O32" s="14" t="s">
        <v>1305</v>
      </c>
      <c r="P32" s="14"/>
    </row>
    <row r="33" customFormat="false" ht="22.35" hidden="false" customHeight="false" outlineLevel="0" collapsed="false">
      <c r="A33" s="14" t="s">
        <v>1308</v>
      </c>
      <c r="B33" s="14" t="s">
        <v>490</v>
      </c>
      <c r="C33" s="14" t="s">
        <v>491</v>
      </c>
      <c r="D33" s="14" t="s">
        <v>21</v>
      </c>
      <c r="E33" s="14" t="s">
        <v>21</v>
      </c>
      <c r="F33" s="14" t="s">
        <v>492</v>
      </c>
      <c r="G33" s="14" t="s">
        <v>493</v>
      </c>
      <c r="H33" s="14" t="s">
        <v>1084</v>
      </c>
      <c r="I33" s="14" t="s">
        <v>1256</v>
      </c>
      <c r="J33" s="17" t="n">
        <v>2</v>
      </c>
      <c r="K33" s="14"/>
      <c r="L33" s="14"/>
      <c r="M33" s="14"/>
      <c r="N33" s="14"/>
      <c r="O33" s="14" t="s">
        <v>1259</v>
      </c>
      <c r="P33" s="14"/>
    </row>
    <row r="34" customFormat="false" ht="22.35" hidden="false" customHeight="false" outlineLevel="0" collapsed="false">
      <c r="A34" s="14" t="s">
        <v>1309</v>
      </c>
      <c r="B34" s="14" t="s">
        <v>99</v>
      </c>
      <c r="C34" s="14"/>
      <c r="D34" s="14" t="s">
        <v>21</v>
      </c>
      <c r="E34" s="14" t="s">
        <v>100</v>
      </c>
      <c r="F34" s="14" t="s">
        <v>101</v>
      </c>
      <c r="G34" s="14" t="s">
        <v>63</v>
      </c>
      <c r="H34" s="14" t="s">
        <v>1084</v>
      </c>
      <c r="I34" s="14" t="s">
        <v>1256</v>
      </c>
      <c r="J34" s="15" t="n">
        <v>1</v>
      </c>
      <c r="K34" s="14"/>
      <c r="L34" s="14"/>
      <c r="M34" s="14"/>
      <c r="N34" s="14"/>
      <c r="O34" s="14" t="s">
        <v>1305</v>
      </c>
      <c r="P34" s="14"/>
    </row>
    <row r="35" customFormat="false" ht="22.35" hidden="false" customHeight="false" outlineLevel="0" collapsed="false">
      <c r="A35" s="14" t="s">
        <v>1310</v>
      </c>
      <c r="B35" s="14" t="s">
        <v>103</v>
      </c>
      <c r="C35" s="14" t="s">
        <v>104</v>
      </c>
      <c r="D35" s="14" t="s">
        <v>21</v>
      </c>
      <c r="E35" s="14" t="s">
        <v>94</v>
      </c>
      <c r="F35" s="14" t="s">
        <v>105</v>
      </c>
      <c r="G35" s="14" t="s">
        <v>63</v>
      </c>
      <c r="H35" s="14" t="s">
        <v>1084</v>
      </c>
      <c r="I35" s="14" t="s">
        <v>1256</v>
      </c>
      <c r="J35" s="15" t="n">
        <v>1</v>
      </c>
      <c r="K35" s="14"/>
      <c r="L35" s="14"/>
      <c r="M35" s="14"/>
      <c r="N35" s="14"/>
      <c r="O35" s="14" t="s">
        <v>1259</v>
      </c>
      <c r="P35" s="14"/>
    </row>
    <row r="36" customFormat="false" ht="22.35" hidden="false" customHeight="false" outlineLevel="0" collapsed="false">
      <c r="A36" s="14" t="s">
        <v>1311</v>
      </c>
      <c r="B36" s="14" t="s">
        <v>495</v>
      </c>
      <c r="C36" s="14" t="s">
        <v>496</v>
      </c>
      <c r="D36" s="14" t="s">
        <v>21</v>
      </c>
      <c r="E36" s="14" t="s">
        <v>21</v>
      </c>
      <c r="F36" s="14" t="s">
        <v>497</v>
      </c>
      <c r="G36" s="14" t="s">
        <v>63</v>
      </c>
      <c r="H36" s="14" t="s">
        <v>1084</v>
      </c>
      <c r="I36" s="14" t="s">
        <v>1256</v>
      </c>
      <c r="J36" s="17" t="n">
        <v>2</v>
      </c>
      <c r="K36" s="14"/>
      <c r="L36" s="14"/>
      <c r="M36" s="14"/>
      <c r="N36" s="14"/>
      <c r="O36" s="14" t="s">
        <v>1259</v>
      </c>
      <c r="P36" s="14"/>
    </row>
    <row r="37" customFormat="false" ht="22.35" hidden="false" customHeight="false" outlineLevel="0" collapsed="false">
      <c r="A37" s="14" t="s">
        <v>1312</v>
      </c>
      <c r="B37" s="14" t="s">
        <v>498</v>
      </c>
      <c r="C37" s="14" t="s">
        <v>499</v>
      </c>
      <c r="D37" s="14" t="s">
        <v>21</v>
      </c>
      <c r="E37" s="14" t="s">
        <v>21</v>
      </c>
      <c r="F37" s="14" t="s">
        <v>500</v>
      </c>
      <c r="G37" s="14" t="s">
        <v>63</v>
      </c>
      <c r="H37" s="14" t="s">
        <v>1084</v>
      </c>
      <c r="I37" s="14" t="s">
        <v>1256</v>
      </c>
      <c r="J37" s="17" t="n">
        <v>2</v>
      </c>
      <c r="K37" s="14"/>
      <c r="L37" s="14"/>
      <c r="M37" s="14"/>
      <c r="N37" s="14"/>
      <c r="O37" s="14" t="s">
        <v>1259</v>
      </c>
      <c r="P37" s="14"/>
    </row>
    <row r="38" customFormat="false" ht="22.35" hidden="false" customHeight="false" outlineLevel="0" collapsed="false">
      <c r="A38" s="14" t="s">
        <v>1313</v>
      </c>
      <c r="B38" s="14" t="s">
        <v>501</v>
      </c>
      <c r="C38" s="14"/>
      <c r="D38" s="14" t="s">
        <v>21</v>
      </c>
      <c r="E38" s="14" t="s">
        <v>21</v>
      </c>
      <c r="F38" s="14" t="s">
        <v>502</v>
      </c>
      <c r="G38" s="14" t="s">
        <v>63</v>
      </c>
      <c r="H38" s="14" t="s">
        <v>1084</v>
      </c>
      <c r="I38" s="14" t="s">
        <v>1256</v>
      </c>
      <c r="J38" s="17" t="n">
        <v>2</v>
      </c>
      <c r="K38" s="14"/>
      <c r="L38" s="14"/>
      <c r="M38" s="14"/>
      <c r="N38" s="14"/>
      <c r="O38" s="14" t="s">
        <v>1259</v>
      </c>
      <c r="P38" s="14"/>
    </row>
    <row r="39" customFormat="false" ht="22.35" hidden="false" customHeight="false" outlineLevel="0" collapsed="false">
      <c r="A39" s="14" t="s">
        <v>1314</v>
      </c>
      <c r="B39" s="14" t="s">
        <v>503</v>
      </c>
      <c r="C39" s="14"/>
      <c r="D39" s="14" t="s">
        <v>21</v>
      </c>
      <c r="E39" s="14" t="s">
        <v>21</v>
      </c>
      <c r="F39" s="14" t="s">
        <v>504</v>
      </c>
      <c r="G39" s="14" t="s">
        <v>493</v>
      </c>
      <c r="H39" s="14" t="s">
        <v>1084</v>
      </c>
      <c r="I39" s="14" t="s">
        <v>1256</v>
      </c>
      <c r="J39" s="17" t="n">
        <v>2</v>
      </c>
      <c r="K39" s="14"/>
      <c r="L39" s="14"/>
      <c r="M39" s="14"/>
      <c r="N39" s="14"/>
      <c r="O39" s="14" t="s">
        <v>1259</v>
      </c>
      <c r="P39" s="14"/>
    </row>
    <row r="40" customFormat="false" ht="22.35" hidden="false" customHeight="false" outlineLevel="0" collapsed="false">
      <c r="A40" s="14" t="s">
        <v>1315</v>
      </c>
      <c r="B40" s="14" t="s">
        <v>505</v>
      </c>
      <c r="C40" s="14" t="s">
        <v>468</v>
      </c>
      <c r="D40" s="14" t="s">
        <v>21</v>
      </c>
      <c r="E40" s="14" t="s">
        <v>21</v>
      </c>
      <c r="F40" s="14" t="s">
        <v>506</v>
      </c>
      <c r="G40" s="14" t="s">
        <v>493</v>
      </c>
      <c r="H40" s="14" t="s">
        <v>1084</v>
      </c>
      <c r="I40" s="14" t="s">
        <v>1256</v>
      </c>
      <c r="J40" s="17" t="n">
        <v>2</v>
      </c>
      <c r="K40" s="14"/>
      <c r="L40" s="14"/>
      <c r="M40" s="14"/>
      <c r="N40" s="14"/>
      <c r="O40" s="14" t="s">
        <v>1259</v>
      </c>
      <c r="P40" s="14" t="s">
        <v>507</v>
      </c>
    </row>
    <row r="41" customFormat="false" ht="22.35" hidden="false" customHeight="false" outlineLevel="0" collapsed="false">
      <c r="A41" s="14" t="s">
        <v>1316</v>
      </c>
      <c r="B41" s="14" t="s">
        <v>109</v>
      </c>
      <c r="C41" s="14" t="s">
        <v>110</v>
      </c>
      <c r="D41" s="14" t="s">
        <v>21</v>
      </c>
      <c r="E41" s="14" t="s">
        <v>21</v>
      </c>
      <c r="F41" s="14" t="s">
        <v>111</v>
      </c>
      <c r="G41" s="14" t="s">
        <v>63</v>
      </c>
      <c r="H41" s="14" t="s">
        <v>1084</v>
      </c>
      <c r="I41" s="14" t="s">
        <v>1256</v>
      </c>
      <c r="J41" s="15" t="n">
        <v>1</v>
      </c>
      <c r="K41" s="14"/>
      <c r="L41" s="14"/>
      <c r="M41" s="14"/>
      <c r="N41" s="14"/>
      <c r="O41" s="14" t="s">
        <v>1259</v>
      </c>
      <c r="P41" s="14"/>
    </row>
    <row r="42" customFormat="false" ht="22.35" hidden="false" customHeight="false" outlineLevel="0" collapsed="false">
      <c r="A42" s="14" t="s">
        <v>1317</v>
      </c>
      <c r="B42" s="14" t="s">
        <v>113</v>
      </c>
      <c r="C42" s="14"/>
      <c r="D42" s="14" t="s">
        <v>21</v>
      </c>
      <c r="E42" s="14" t="s">
        <v>82</v>
      </c>
      <c r="F42" s="14" t="s">
        <v>83</v>
      </c>
      <c r="G42" s="14" t="s">
        <v>63</v>
      </c>
      <c r="H42" s="14" t="s">
        <v>1084</v>
      </c>
      <c r="I42" s="14" t="s">
        <v>1256</v>
      </c>
      <c r="J42" s="15" t="n">
        <v>1</v>
      </c>
      <c r="K42" s="14"/>
      <c r="L42" s="14"/>
      <c r="M42" s="14"/>
      <c r="N42" s="14"/>
      <c r="O42" s="14" t="s">
        <v>1305</v>
      </c>
      <c r="P42" s="14"/>
    </row>
    <row r="43" customFormat="false" ht="22.35" hidden="false" customHeight="false" outlineLevel="0" collapsed="false">
      <c r="A43" s="14" t="s">
        <v>1318</v>
      </c>
      <c r="B43" s="14" t="s">
        <v>1319</v>
      </c>
      <c r="C43" s="14"/>
      <c r="D43" s="14" t="s">
        <v>17</v>
      </c>
      <c r="E43" s="14" t="s">
        <v>1320</v>
      </c>
      <c r="F43" s="14"/>
      <c r="G43" s="14"/>
      <c r="H43" s="14" t="s">
        <v>1278</v>
      </c>
      <c r="I43" s="14" t="s">
        <v>1256</v>
      </c>
      <c r="J43" s="14"/>
      <c r="K43" s="14"/>
      <c r="L43" s="14"/>
      <c r="M43" s="14"/>
      <c r="N43" s="14"/>
      <c r="O43" s="14" t="s">
        <v>1279</v>
      </c>
      <c r="P43" s="14"/>
    </row>
    <row r="44" customFormat="false" ht="22.35" hidden="false" customHeight="false" outlineLevel="0" collapsed="false">
      <c r="A44" s="14" t="s">
        <v>1321</v>
      </c>
      <c r="B44" s="14" t="s">
        <v>1322</v>
      </c>
      <c r="C44" s="14"/>
      <c r="D44" s="14" t="s">
        <v>17</v>
      </c>
      <c r="E44" s="14" t="s">
        <v>1320</v>
      </c>
      <c r="F44" s="14"/>
      <c r="G44" s="14"/>
      <c r="H44" s="14" t="s">
        <v>1278</v>
      </c>
      <c r="I44" s="14" t="s">
        <v>1256</v>
      </c>
      <c r="J44" s="14"/>
      <c r="K44" s="14"/>
      <c r="L44" s="14"/>
      <c r="M44" s="14"/>
      <c r="N44" s="14"/>
      <c r="O44" s="14" t="s">
        <v>1279</v>
      </c>
      <c r="P44" s="14"/>
    </row>
    <row r="45" customFormat="false" ht="22.35" hidden="false" customHeight="false" outlineLevel="0" collapsed="false">
      <c r="A45" s="14" t="s">
        <v>1323</v>
      </c>
      <c r="B45" s="14" t="s">
        <v>1324</v>
      </c>
      <c r="C45" s="14"/>
      <c r="D45" s="14" t="s">
        <v>17</v>
      </c>
      <c r="E45" s="14" t="s">
        <v>1320</v>
      </c>
      <c r="F45" s="14"/>
      <c r="G45" s="14"/>
      <c r="H45" s="14" t="s">
        <v>1278</v>
      </c>
      <c r="I45" s="14" t="s">
        <v>1256</v>
      </c>
      <c r="J45" s="14"/>
      <c r="K45" s="14"/>
      <c r="L45" s="14"/>
      <c r="M45" s="14"/>
      <c r="N45" s="14"/>
      <c r="O45" s="14" t="s">
        <v>1279</v>
      </c>
      <c r="P45" s="14"/>
    </row>
    <row r="46" customFormat="false" ht="22.35" hidden="false" customHeight="false" outlineLevel="0" collapsed="false">
      <c r="A46" s="14" t="s">
        <v>1325</v>
      </c>
      <c r="B46" s="14" t="s">
        <v>1326</v>
      </c>
      <c r="C46" s="14" t="s">
        <v>1327</v>
      </c>
      <c r="D46" s="14" t="s">
        <v>17</v>
      </c>
      <c r="E46" s="14" t="s">
        <v>1320</v>
      </c>
      <c r="F46" s="14" t="s">
        <v>62</v>
      </c>
      <c r="G46" s="14" t="s">
        <v>63</v>
      </c>
      <c r="H46" s="14" t="s">
        <v>1278</v>
      </c>
      <c r="I46" s="14" t="s">
        <v>1256</v>
      </c>
      <c r="J46" s="14"/>
      <c r="K46" s="14"/>
      <c r="L46" s="14"/>
      <c r="M46" s="14"/>
      <c r="N46" s="14"/>
      <c r="O46" s="14" t="s">
        <v>1279</v>
      </c>
      <c r="P46" s="14"/>
    </row>
    <row r="47" customFormat="false" ht="22.35" hidden="false" customHeight="false" outlineLevel="0" collapsed="false">
      <c r="A47" s="14" t="s">
        <v>1328</v>
      </c>
      <c r="B47" s="14" t="s">
        <v>1329</v>
      </c>
      <c r="C47" s="14" t="s">
        <v>1330</v>
      </c>
      <c r="D47" s="14" t="s">
        <v>17</v>
      </c>
      <c r="E47" s="14" t="s">
        <v>1320</v>
      </c>
      <c r="F47" s="14" t="s">
        <v>215</v>
      </c>
      <c r="G47" s="14" t="s">
        <v>77</v>
      </c>
      <c r="H47" s="14" t="s">
        <v>1278</v>
      </c>
      <c r="I47" s="14" t="s">
        <v>1256</v>
      </c>
      <c r="J47" s="14"/>
      <c r="K47" s="14"/>
      <c r="L47" s="14"/>
      <c r="M47" s="14"/>
      <c r="N47" s="14"/>
      <c r="O47" s="14" t="s">
        <v>1279</v>
      </c>
      <c r="P47" s="14"/>
    </row>
    <row r="48" customFormat="false" ht="22.35" hidden="false" customHeight="false" outlineLevel="0" collapsed="false">
      <c r="A48" s="14" t="s">
        <v>1331</v>
      </c>
      <c r="B48" s="14" t="s">
        <v>1332</v>
      </c>
      <c r="C48" s="14"/>
      <c r="D48" s="14" t="s">
        <v>17</v>
      </c>
      <c r="E48" s="14" t="s">
        <v>1320</v>
      </c>
      <c r="F48" s="14"/>
      <c r="G48" s="14"/>
      <c r="H48" s="14" t="s">
        <v>1278</v>
      </c>
      <c r="I48" s="14" t="s">
        <v>1291</v>
      </c>
      <c r="J48" s="14"/>
      <c r="K48" s="14"/>
      <c r="L48" s="14"/>
      <c r="M48" s="14"/>
      <c r="N48" s="14"/>
      <c r="O48" s="14" t="s">
        <v>1279</v>
      </c>
      <c r="P48" s="14"/>
    </row>
    <row r="49" customFormat="false" ht="22.35" hidden="false" customHeight="false" outlineLevel="0" collapsed="false">
      <c r="A49" s="14" t="s">
        <v>1333</v>
      </c>
      <c r="B49" s="14" t="s">
        <v>1334</v>
      </c>
      <c r="C49" s="14"/>
      <c r="D49" s="14" t="s">
        <v>17</v>
      </c>
      <c r="E49" s="14" t="s">
        <v>1320</v>
      </c>
      <c r="F49" s="14"/>
      <c r="G49" s="14"/>
      <c r="H49" s="14" t="s">
        <v>1278</v>
      </c>
      <c r="I49" s="14" t="s">
        <v>1256</v>
      </c>
      <c r="J49" s="14"/>
      <c r="K49" s="14"/>
      <c r="L49" s="14"/>
      <c r="M49" s="14"/>
      <c r="N49" s="14"/>
      <c r="O49" s="14" t="s">
        <v>1279</v>
      </c>
      <c r="P49" s="14"/>
    </row>
    <row r="50" customFormat="false" ht="22.35" hidden="false" customHeight="false" outlineLevel="0" collapsed="false">
      <c r="A50" s="14" t="s">
        <v>1335</v>
      </c>
      <c r="B50" s="14" t="s">
        <v>1336</v>
      </c>
      <c r="C50" s="14" t="s">
        <v>1337</v>
      </c>
      <c r="D50" s="14" t="s">
        <v>17</v>
      </c>
      <c r="E50" s="14" t="s">
        <v>1320</v>
      </c>
      <c r="F50" s="14" t="s">
        <v>76</v>
      </c>
      <c r="G50" s="14" t="s">
        <v>77</v>
      </c>
      <c r="H50" s="14" t="s">
        <v>1278</v>
      </c>
      <c r="I50" s="14" t="s">
        <v>1256</v>
      </c>
      <c r="J50" s="14"/>
      <c r="K50" s="14"/>
      <c r="L50" s="14"/>
      <c r="M50" s="14"/>
      <c r="N50" s="14"/>
      <c r="O50" s="14" t="s">
        <v>1279</v>
      </c>
      <c r="P50" s="14"/>
    </row>
    <row r="51" customFormat="false" ht="22.35" hidden="false" customHeight="false" outlineLevel="0" collapsed="false">
      <c r="A51" s="14" t="s">
        <v>1338</v>
      </c>
      <c r="B51" s="14" t="s">
        <v>1339</v>
      </c>
      <c r="C51" s="14"/>
      <c r="D51" s="14" t="s">
        <v>17</v>
      </c>
      <c r="E51" s="14" t="s">
        <v>1320</v>
      </c>
      <c r="F51" s="14"/>
      <c r="G51" s="14"/>
      <c r="H51" s="14" t="s">
        <v>1278</v>
      </c>
      <c r="I51" s="14" t="s">
        <v>1256</v>
      </c>
      <c r="J51" s="14"/>
      <c r="K51" s="14"/>
      <c r="L51" s="14"/>
      <c r="M51" s="14"/>
      <c r="N51" s="14"/>
      <c r="O51" s="14" t="s">
        <v>1279</v>
      </c>
      <c r="P51" s="14"/>
    </row>
    <row r="52" customFormat="false" ht="22.35" hidden="false" customHeight="false" outlineLevel="0" collapsed="false">
      <c r="A52" s="14" t="s">
        <v>1340</v>
      </c>
      <c r="B52" s="14" t="s">
        <v>1341</v>
      </c>
      <c r="C52" s="14" t="s">
        <v>1330</v>
      </c>
      <c r="D52" s="14" t="s">
        <v>17</v>
      </c>
      <c r="E52" s="14" t="s">
        <v>1320</v>
      </c>
      <c r="F52" s="14" t="s">
        <v>76</v>
      </c>
      <c r="G52" s="14" t="s">
        <v>77</v>
      </c>
      <c r="H52" s="14" t="s">
        <v>1278</v>
      </c>
      <c r="I52" s="14" t="s">
        <v>1107</v>
      </c>
      <c r="J52" s="14"/>
      <c r="K52" s="14"/>
      <c r="L52" s="14"/>
      <c r="M52" s="14"/>
      <c r="N52" s="14"/>
      <c r="O52" s="14" t="s">
        <v>1279</v>
      </c>
      <c r="P52" s="14" t="s">
        <v>1342</v>
      </c>
    </row>
    <row r="53" customFormat="false" ht="22.35" hidden="false" customHeight="false" outlineLevel="0" collapsed="false">
      <c r="A53" s="14" t="s">
        <v>1343</v>
      </c>
      <c r="B53" s="14" t="s">
        <v>1344</v>
      </c>
      <c r="C53" s="14"/>
      <c r="D53" s="14" t="s">
        <v>17</v>
      </c>
      <c r="E53" s="14" t="s">
        <v>1320</v>
      </c>
      <c r="F53" s="14"/>
      <c r="G53" s="14"/>
      <c r="H53" s="14" t="s">
        <v>1278</v>
      </c>
      <c r="I53" s="14" t="s">
        <v>1256</v>
      </c>
      <c r="J53" s="14"/>
      <c r="K53" s="14"/>
      <c r="L53" s="14"/>
      <c r="M53" s="14"/>
      <c r="N53" s="14"/>
      <c r="O53" s="14" t="s">
        <v>1279</v>
      </c>
      <c r="P53" s="14"/>
    </row>
    <row r="54" customFormat="false" ht="22.35" hidden="false" customHeight="false" outlineLevel="0" collapsed="false">
      <c r="A54" s="14" t="s">
        <v>1345</v>
      </c>
      <c r="B54" s="14" t="s">
        <v>508</v>
      </c>
      <c r="C54" s="14" t="s">
        <v>509</v>
      </c>
      <c r="D54" s="14" t="s">
        <v>17</v>
      </c>
      <c r="E54" s="14" t="s">
        <v>510</v>
      </c>
      <c r="F54" s="14" t="s">
        <v>62</v>
      </c>
      <c r="G54" s="14" t="s">
        <v>63</v>
      </c>
      <c r="H54" s="14" t="s">
        <v>1084</v>
      </c>
      <c r="I54" s="14" t="s">
        <v>1256</v>
      </c>
      <c r="J54" s="17" t="n">
        <v>2</v>
      </c>
      <c r="K54" s="14"/>
      <c r="L54" s="14"/>
      <c r="M54" s="14"/>
      <c r="N54" s="14"/>
      <c r="O54" s="14" t="s">
        <v>1259</v>
      </c>
      <c r="P54" s="14"/>
    </row>
    <row r="55" customFormat="false" ht="22.35" hidden="false" customHeight="false" outlineLevel="0" collapsed="false">
      <c r="A55" s="14" t="s">
        <v>1346</v>
      </c>
      <c r="B55" s="14" t="s">
        <v>512</v>
      </c>
      <c r="C55" s="14" t="s">
        <v>513</v>
      </c>
      <c r="D55" s="14" t="s">
        <v>17</v>
      </c>
      <c r="E55" s="14" t="s">
        <v>514</v>
      </c>
      <c r="F55" s="14" t="s">
        <v>215</v>
      </c>
      <c r="G55" s="14" t="s">
        <v>77</v>
      </c>
      <c r="H55" s="14" t="s">
        <v>1084</v>
      </c>
      <c r="I55" s="14" t="s">
        <v>1256</v>
      </c>
      <c r="J55" s="17" t="n">
        <v>2</v>
      </c>
      <c r="K55" s="14"/>
      <c r="L55" s="14"/>
      <c r="M55" s="14"/>
      <c r="N55" s="14"/>
      <c r="O55" s="14" t="s">
        <v>1259</v>
      </c>
      <c r="P55" s="14"/>
    </row>
    <row r="56" customFormat="false" ht="22.35" hidden="false" customHeight="false" outlineLevel="0" collapsed="false">
      <c r="A56" s="14" t="s">
        <v>1347</v>
      </c>
      <c r="B56" s="14" t="s">
        <v>515</v>
      </c>
      <c r="C56" s="14" t="s">
        <v>516</v>
      </c>
      <c r="D56" s="14" t="s">
        <v>17</v>
      </c>
      <c r="E56" s="14" t="s">
        <v>517</v>
      </c>
      <c r="F56" s="14" t="s">
        <v>215</v>
      </c>
      <c r="G56" s="14" t="s">
        <v>77</v>
      </c>
      <c r="H56" s="14" t="s">
        <v>1084</v>
      </c>
      <c r="I56" s="14" t="s">
        <v>1256</v>
      </c>
      <c r="J56" s="17" t="n">
        <v>2</v>
      </c>
      <c r="K56" s="14"/>
      <c r="L56" s="14"/>
      <c r="M56" s="14"/>
      <c r="N56" s="14"/>
      <c r="O56" s="14" t="s">
        <v>1259</v>
      </c>
      <c r="P56" s="14"/>
    </row>
    <row r="57" customFormat="false" ht="15" hidden="false" customHeight="false" outlineLevel="0" collapsed="false">
      <c r="A57" s="14" t="s">
        <v>1348</v>
      </c>
      <c r="B57" s="14" t="s">
        <v>518</v>
      </c>
      <c r="C57" s="14"/>
      <c r="D57" s="14" t="s">
        <v>17</v>
      </c>
      <c r="E57" s="14" t="s">
        <v>519</v>
      </c>
      <c r="F57" s="14" t="s">
        <v>520</v>
      </c>
      <c r="G57" s="14" t="s">
        <v>493</v>
      </c>
      <c r="H57" s="14" t="s">
        <v>1084</v>
      </c>
      <c r="I57" s="14" t="s">
        <v>1256</v>
      </c>
      <c r="J57" s="17" t="n">
        <v>2</v>
      </c>
      <c r="K57" s="14"/>
      <c r="L57" s="14"/>
      <c r="M57" s="14"/>
      <c r="N57" s="14"/>
      <c r="O57" s="14" t="s">
        <v>1349</v>
      </c>
      <c r="P57" s="14"/>
    </row>
    <row r="58" customFormat="false" ht="22.35" hidden="false" customHeight="false" outlineLevel="0" collapsed="false">
      <c r="A58" s="14" t="s">
        <v>1350</v>
      </c>
      <c r="B58" s="14" t="s">
        <v>523</v>
      </c>
      <c r="C58" s="14" t="s">
        <v>138</v>
      </c>
      <c r="D58" s="14" t="s">
        <v>17</v>
      </c>
      <c r="E58" s="14" t="s">
        <v>524</v>
      </c>
      <c r="F58" s="14" t="s">
        <v>188</v>
      </c>
      <c r="G58" s="14" t="s">
        <v>63</v>
      </c>
      <c r="H58" s="14" t="s">
        <v>1084</v>
      </c>
      <c r="I58" s="14" t="s">
        <v>1256</v>
      </c>
      <c r="J58" s="17" t="n">
        <v>2</v>
      </c>
      <c r="K58" s="14"/>
      <c r="L58" s="14"/>
      <c r="M58" s="14"/>
      <c r="N58" s="14"/>
      <c r="O58" s="14" t="s">
        <v>1259</v>
      </c>
      <c r="P58" s="14"/>
    </row>
    <row r="59" customFormat="false" ht="22.35" hidden="false" customHeight="false" outlineLevel="0" collapsed="false">
      <c r="A59" s="14" t="s">
        <v>1351</v>
      </c>
      <c r="B59" s="14" t="s">
        <v>525</v>
      </c>
      <c r="C59" s="14" t="s">
        <v>526</v>
      </c>
      <c r="D59" s="14" t="s">
        <v>17</v>
      </c>
      <c r="E59" s="14" t="s">
        <v>527</v>
      </c>
      <c r="F59" s="14" t="s">
        <v>215</v>
      </c>
      <c r="G59" s="14" t="s">
        <v>77</v>
      </c>
      <c r="H59" s="14" t="s">
        <v>1084</v>
      </c>
      <c r="I59" s="14" t="s">
        <v>1256</v>
      </c>
      <c r="J59" s="17" t="n">
        <v>2</v>
      </c>
      <c r="K59" s="14"/>
      <c r="L59" s="14"/>
      <c r="M59" s="14"/>
      <c r="N59" s="14"/>
      <c r="O59" s="14" t="s">
        <v>1259</v>
      </c>
      <c r="P59" s="14"/>
    </row>
    <row r="60" customFormat="false" ht="32.8" hidden="false" customHeight="false" outlineLevel="0" collapsed="false">
      <c r="A60" s="14" t="s">
        <v>1352</v>
      </c>
      <c r="B60" s="14" t="s">
        <v>114</v>
      </c>
      <c r="C60" s="14"/>
      <c r="D60" s="14" t="s">
        <v>17</v>
      </c>
      <c r="E60" s="14" t="s">
        <v>115</v>
      </c>
      <c r="F60" s="14" t="s">
        <v>116</v>
      </c>
      <c r="G60" s="14" t="s">
        <v>63</v>
      </c>
      <c r="H60" s="14" t="s">
        <v>1084</v>
      </c>
      <c r="I60" s="14" t="s">
        <v>1256</v>
      </c>
      <c r="J60" s="15" t="n">
        <v>1</v>
      </c>
      <c r="K60" s="14"/>
      <c r="L60" s="14"/>
      <c r="M60" s="14"/>
      <c r="N60" s="14"/>
      <c r="O60" s="14" t="s">
        <v>1353</v>
      </c>
      <c r="P60" s="14"/>
    </row>
    <row r="61" customFormat="false" ht="22.35" hidden="false" customHeight="false" outlineLevel="0" collapsed="false">
      <c r="A61" s="14" t="s">
        <v>1354</v>
      </c>
      <c r="B61" s="14" t="s">
        <v>528</v>
      </c>
      <c r="C61" s="14" t="s">
        <v>529</v>
      </c>
      <c r="D61" s="14" t="s">
        <v>17</v>
      </c>
      <c r="E61" s="14" t="s">
        <v>530</v>
      </c>
      <c r="F61" s="14" t="s">
        <v>531</v>
      </c>
      <c r="G61" s="14" t="s">
        <v>307</v>
      </c>
      <c r="H61" s="14" t="s">
        <v>1084</v>
      </c>
      <c r="I61" s="14" t="s">
        <v>1256</v>
      </c>
      <c r="J61" s="17" t="n">
        <v>2</v>
      </c>
      <c r="K61" s="14"/>
      <c r="L61" s="14"/>
      <c r="M61" s="14"/>
      <c r="N61" s="14"/>
      <c r="O61" s="14" t="s">
        <v>1259</v>
      </c>
      <c r="P61" s="14" t="s">
        <v>532</v>
      </c>
    </row>
    <row r="62" customFormat="false" ht="22.35" hidden="false" customHeight="false" outlineLevel="0" collapsed="false">
      <c r="A62" s="14" t="s">
        <v>1355</v>
      </c>
      <c r="B62" s="14" t="s">
        <v>533</v>
      </c>
      <c r="C62" s="14" t="s">
        <v>193</v>
      </c>
      <c r="D62" s="14" t="s">
        <v>17</v>
      </c>
      <c r="E62" s="14" t="s">
        <v>534</v>
      </c>
      <c r="F62" s="14" t="s">
        <v>535</v>
      </c>
      <c r="G62" s="14" t="s">
        <v>63</v>
      </c>
      <c r="H62" s="14" t="s">
        <v>1084</v>
      </c>
      <c r="I62" s="14" t="s">
        <v>1256</v>
      </c>
      <c r="J62" s="17" t="n">
        <v>2</v>
      </c>
      <c r="K62" s="14"/>
      <c r="L62" s="14"/>
      <c r="M62" s="14"/>
      <c r="N62" s="14"/>
      <c r="O62" s="14" t="s">
        <v>1259</v>
      </c>
      <c r="P62" s="14"/>
    </row>
    <row r="63" customFormat="false" ht="22.35" hidden="false" customHeight="false" outlineLevel="0" collapsed="false">
      <c r="A63" s="14" t="s">
        <v>1356</v>
      </c>
      <c r="B63" s="14" t="s">
        <v>536</v>
      </c>
      <c r="C63" s="14" t="s">
        <v>193</v>
      </c>
      <c r="D63" s="14" t="s">
        <v>17</v>
      </c>
      <c r="E63" s="14" t="s">
        <v>537</v>
      </c>
      <c r="F63" s="14" t="s">
        <v>62</v>
      </c>
      <c r="G63" s="14" t="s">
        <v>63</v>
      </c>
      <c r="H63" s="14" t="s">
        <v>1084</v>
      </c>
      <c r="I63" s="14" t="s">
        <v>1256</v>
      </c>
      <c r="J63" s="17" t="n">
        <v>2</v>
      </c>
      <c r="K63" s="14"/>
      <c r="L63" s="14"/>
      <c r="M63" s="14"/>
      <c r="N63" s="14"/>
      <c r="O63" s="14" t="s">
        <v>1349</v>
      </c>
      <c r="P63" s="14" t="s">
        <v>538</v>
      </c>
    </row>
    <row r="64" customFormat="false" ht="22.35" hidden="false" customHeight="false" outlineLevel="0" collapsed="false">
      <c r="A64" s="14" t="s">
        <v>1357</v>
      </c>
      <c r="B64" s="14" t="s">
        <v>122</v>
      </c>
      <c r="C64" s="14" t="s">
        <v>123</v>
      </c>
      <c r="D64" s="14" t="s">
        <v>17</v>
      </c>
      <c r="E64" s="14" t="s">
        <v>124</v>
      </c>
      <c r="F64" s="14" t="s">
        <v>125</v>
      </c>
      <c r="G64" s="14" t="s">
        <v>63</v>
      </c>
      <c r="H64" s="14" t="s">
        <v>1084</v>
      </c>
      <c r="I64" s="14" t="s">
        <v>1256</v>
      </c>
      <c r="J64" s="15" t="n">
        <v>1</v>
      </c>
      <c r="K64" s="14"/>
      <c r="L64" s="14"/>
      <c r="M64" s="14"/>
      <c r="N64" s="14"/>
      <c r="O64" s="14" t="s">
        <v>1259</v>
      </c>
      <c r="P64" s="14"/>
    </row>
    <row r="65" customFormat="false" ht="22.35" hidden="false" customHeight="false" outlineLevel="0" collapsed="false">
      <c r="A65" s="14" t="s">
        <v>1358</v>
      </c>
      <c r="B65" s="14" t="s">
        <v>539</v>
      </c>
      <c r="C65" s="14"/>
      <c r="D65" s="14" t="s">
        <v>17</v>
      </c>
      <c r="E65" s="14" t="s">
        <v>540</v>
      </c>
      <c r="F65" s="14" t="s">
        <v>502</v>
      </c>
      <c r="G65" s="14" t="s">
        <v>63</v>
      </c>
      <c r="H65" s="14" t="s">
        <v>1084</v>
      </c>
      <c r="I65" s="14" t="s">
        <v>1256</v>
      </c>
      <c r="J65" s="17" t="n">
        <v>2</v>
      </c>
      <c r="K65" s="14"/>
      <c r="L65" s="14"/>
      <c r="M65" s="14"/>
      <c r="N65" s="14"/>
      <c r="O65" s="14" t="s">
        <v>1259</v>
      </c>
      <c r="P65" s="14"/>
    </row>
    <row r="66" customFormat="false" ht="22.35" hidden="false" customHeight="false" outlineLevel="0" collapsed="false">
      <c r="A66" s="14" t="s">
        <v>1359</v>
      </c>
      <c r="B66" s="14" t="s">
        <v>541</v>
      </c>
      <c r="C66" s="14" t="s">
        <v>542</v>
      </c>
      <c r="D66" s="14" t="s">
        <v>17</v>
      </c>
      <c r="E66" s="14" t="s">
        <v>543</v>
      </c>
      <c r="F66" s="14" t="s">
        <v>188</v>
      </c>
      <c r="G66" s="14" t="s">
        <v>63</v>
      </c>
      <c r="H66" s="14" t="s">
        <v>1084</v>
      </c>
      <c r="I66" s="14" t="s">
        <v>1256</v>
      </c>
      <c r="J66" s="17" t="n">
        <v>2</v>
      </c>
      <c r="K66" s="14"/>
      <c r="L66" s="14"/>
      <c r="M66" s="14"/>
      <c r="N66" s="14"/>
      <c r="O66" s="14" t="s">
        <v>1259</v>
      </c>
      <c r="P66" s="14"/>
    </row>
    <row r="67" customFormat="false" ht="22.35" hidden="false" customHeight="false" outlineLevel="0" collapsed="false">
      <c r="A67" s="14" t="s">
        <v>1360</v>
      </c>
      <c r="B67" s="14" t="s">
        <v>544</v>
      </c>
      <c r="C67" s="14" t="s">
        <v>545</v>
      </c>
      <c r="D67" s="14" t="s">
        <v>17</v>
      </c>
      <c r="E67" s="14" t="s">
        <v>546</v>
      </c>
      <c r="F67" s="14" t="s">
        <v>188</v>
      </c>
      <c r="G67" s="14" t="s">
        <v>63</v>
      </c>
      <c r="H67" s="14" t="s">
        <v>1084</v>
      </c>
      <c r="I67" s="14" t="s">
        <v>1256</v>
      </c>
      <c r="J67" s="17" t="n">
        <v>2</v>
      </c>
      <c r="K67" s="14"/>
      <c r="L67" s="14"/>
      <c r="M67" s="14"/>
      <c r="N67" s="14"/>
      <c r="O67" s="14" t="s">
        <v>1349</v>
      </c>
      <c r="P67" s="14" t="s">
        <v>547</v>
      </c>
    </row>
    <row r="68" customFormat="false" ht="22.35" hidden="false" customHeight="false" outlineLevel="0" collapsed="false">
      <c r="A68" s="14" t="s">
        <v>1361</v>
      </c>
      <c r="B68" s="14" t="s">
        <v>548</v>
      </c>
      <c r="C68" s="14"/>
      <c r="D68" s="14" t="s">
        <v>17</v>
      </c>
      <c r="E68" s="14" t="s">
        <v>549</v>
      </c>
      <c r="F68" s="14" t="s">
        <v>550</v>
      </c>
      <c r="G68" s="14" t="s">
        <v>77</v>
      </c>
      <c r="H68" s="14" t="s">
        <v>1084</v>
      </c>
      <c r="I68" s="14" t="s">
        <v>1256</v>
      </c>
      <c r="J68" s="17" t="n">
        <v>2</v>
      </c>
      <c r="K68" s="14"/>
      <c r="L68" s="14"/>
      <c r="M68" s="14"/>
      <c r="N68" s="14"/>
      <c r="O68" s="14" t="s">
        <v>1259</v>
      </c>
      <c r="P68" s="14"/>
    </row>
    <row r="69" customFormat="false" ht="22.35" hidden="false" customHeight="false" outlineLevel="0" collapsed="false">
      <c r="A69" s="14" t="s">
        <v>1362</v>
      </c>
      <c r="B69" s="14" t="s">
        <v>128</v>
      </c>
      <c r="C69" s="14"/>
      <c r="D69" s="14" t="s">
        <v>17</v>
      </c>
      <c r="E69" s="14" t="s">
        <v>129</v>
      </c>
      <c r="F69" s="14" t="s">
        <v>130</v>
      </c>
      <c r="G69" s="14" t="s">
        <v>63</v>
      </c>
      <c r="H69" s="14" t="s">
        <v>1084</v>
      </c>
      <c r="I69" s="14" t="s">
        <v>1256</v>
      </c>
      <c r="J69" s="15" t="n">
        <v>1</v>
      </c>
      <c r="K69" s="14"/>
      <c r="L69" s="14"/>
      <c r="M69" s="14"/>
      <c r="N69" s="14"/>
      <c r="O69" s="14" t="s">
        <v>1363</v>
      </c>
      <c r="P69" s="14"/>
    </row>
    <row r="70" customFormat="false" ht="15" hidden="false" customHeight="false" outlineLevel="0" collapsed="false">
      <c r="A70" s="14" t="s">
        <v>1364</v>
      </c>
      <c r="B70" s="14" t="s">
        <v>551</v>
      </c>
      <c r="C70" s="14"/>
      <c r="D70" s="14" t="s">
        <v>17</v>
      </c>
      <c r="E70" s="14" t="s">
        <v>552</v>
      </c>
      <c r="F70" s="14" t="s">
        <v>553</v>
      </c>
      <c r="G70" s="14"/>
      <c r="H70" s="14" t="s">
        <v>1084</v>
      </c>
      <c r="I70" s="14" t="s">
        <v>1256</v>
      </c>
      <c r="J70" s="17" t="n">
        <v>2</v>
      </c>
      <c r="K70" s="14"/>
      <c r="L70" s="14"/>
      <c r="M70" s="14"/>
      <c r="N70" s="14"/>
      <c r="O70" s="14" t="s">
        <v>1349</v>
      </c>
      <c r="P70" s="14" t="s">
        <v>554</v>
      </c>
    </row>
    <row r="71" customFormat="false" ht="22.35" hidden="false" customHeight="false" outlineLevel="0" collapsed="false">
      <c r="A71" s="14" t="s">
        <v>1365</v>
      </c>
      <c r="B71" s="14" t="s">
        <v>133</v>
      </c>
      <c r="C71" s="14" t="s">
        <v>134</v>
      </c>
      <c r="D71" s="14" t="s">
        <v>17</v>
      </c>
      <c r="E71" s="14" t="s">
        <v>124</v>
      </c>
      <c r="F71" s="14" t="s">
        <v>135</v>
      </c>
      <c r="G71" s="14" t="s">
        <v>63</v>
      </c>
      <c r="H71" s="14" t="s">
        <v>1084</v>
      </c>
      <c r="I71" s="14" t="s">
        <v>1256</v>
      </c>
      <c r="J71" s="15" t="n">
        <v>1</v>
      </c>
      <c r="K71" s="14"/>
      <c r="L71" s="14"/>
      <c r="M71" s="14"/>
      <c r="N71" s="14"/>
      <c r="O71" s="14" t="s">
        <v>1259</v>
      </c>
      <c r="P71" s="14"/>
    </row>
    <row r="72" customFormat="false" ht="22.35" hidden="false" customHeight="false" outlineLevel="0" collapsed="false">
      <c r="A72" s="14" t="s">
        <v>1366</v>
      </c>
      <c r="B72" s="14" t="s">
        <v>555</v>
      </c>
      <c r="C72" s="14" t="s">
        <v>134</v>
      </c>
      <c r="D72" s="14" t="s">
        <v>17</v>
      </c>
      <c r="E72" s="14" t="s">
        <v>524</v>
      </c>
      <c r="F72" s="14" t="s">
        <v>135</v>
      </c>
      <c r="G72" s="14" t="s">
        <v>63</v>
      </c>
      <c r="H72" s="14" t="s">
        <v>1084</v>
      </c>
      <c r="I72" s="14" t="s">
        <v>1256</v>
      </c>
      <c r="J72" s="17" t="n">
        <v>2</v>
      </c>
      <c r="K72" s="14"/>
      <c r="L72" s="14"/>
      <c r="M72" s="14"/>
      <c r="N72" s="14"/>
      <c r="O72" s="14" t="s">
        <v>1259</v>
      </c>
      <c r="P72" s="14"/>
    </row>
    <row r="73" customFormat="false" ht="22.35" hidden="false" customHeight="false" outlineLevel="0" collapsed="false">
      <c r="A73" s="14" t="s">
        <v>1367</v>
      </c>
      <c r="B73" s="14" t="s">
        <v>556</v>
      </c>
      <c r="C73" s="14" t="s">
        <v>557</v>
      </c>
      <c r="D73" s="14" t="s">
        <v>17</v>
      </c>
      <c r="E73" s="14" t="s">
        <v>558</v>
      </c>
      <c r="F73" s="14" t="s">
        <v>559</v>
      </c>
      <c r="G73" s="14" t="s">
        <v>63</v>
      </c>
      <c r="H73" s="14" t="s">
        <v>1084</v>
      </c>
      <c r="I73" s="14" t="s">
        <v>1256</v>
      </c>
      <c r="J73" s="17" t="n">
        <v>2</v>
      </c>
      <c r="K73" s="14"/>
      <c r="L73" s="14"/>
      <c r="M73" s="14"/>
      <c r="N73" s="14"/>
      <c r="O73" s="14" t="s">
        <v>1259</v>
      </c>
      <c r="P73" s="14"/>
    </row>
    <row r="74" customFormat="false" ht="22.35" hidden="false" customHeight="false" outlineLevel="0" collapsed="false">
      <c r="A74" s="14" t="s">
        <v>1368</v>
      </c>
      <c r="B74" s="14" t="s">
        <v>1051</v>
      </c>
      <c r="C74" s="14" t="s">
        <v>145</v>
      </c>
      <c r="D74" s="14" t="s">
        <v>37</v>
      </c>
      <c r="E74" s="14" t="s">
        <v>1052</v>
      </c>
      <c r="F74" s="14" t="s">
        <v>1053</v>
      </c>
      <c r="G74" s="14" t="s">
        <v>63</v>
      </c>
      <c r="H74" s="14" t="s">
        <v>1084</v>
      </c>
      <c r="I74" s="14" t="s">
        <v>1256</v>
      </c>
      <c r="J74" s="18" t="n">
        <v>3</v>
      </c>
      <c r="K74" s="14"/>
      <c r="L74" s="14"/>
      <c r="M74" s="14"/>
      <c r="N74" s="14"/>
      <c r="O74" s="14" t="s">
        <v>1259</v>
      </c>
      <c r="P74" s="14" t="s">
        <v>1057</v>
      </c>
    </row>
    <row r="75" customFormat="false" ht="22.35" hidden="false" customHeight="false" outlineLevel="0" collapsed="false">
      <c r="A75" s="14" t="s">
        <v>1369</v>
      </c>
      <c r="B75" s="14" t="s">
        <v>1058</v>
      </c>
      <c r="C75" s="14" t="s">
        <v>145</v>
      </c>
      <c r="D75" s="14" t="s">
        <v>37</v>
      </c>
      <c r="E75" s="14" t="s">
        <v>1052</v>
      </c>
      <c r="F75" s="14" t="s">
        <v>1053</v>
      </c>
      <c r="G75" s="14" t="s">
        <v>63</v>
      </c>
      <c r="H75" s="14" t="s">
        <v>1084</v>
      </c>
      <c r="I75" s="14" t="s">
        <v>1256</v>
      </c>
      <c r="J75" s="18" t="n">
        <v>3</v>
      </c>
      <c r="K75" s="14"/>
      <c r="L75" s="14"/>
      <c r="M75" s="14"/>
      <c r="N75" s="14"/>
      <c r="O75" s="14" t="s">
        <v>1259</v>
      </c>
      <c r="P75" s="14"/>
    </row>
    <row r="76" customFormat="false" ht="22.35" hidden="false" customHeight="false" outlineLevel="0" collapsed="false">
      <c r="A76" s="14" t="s">
        <v>1370</v>
      </c>
      <c r="B76" s="14" t="s">
        <v>1059</v>
      </c>
      <c r="C76" s="14" t="s">
        <v>145</v>
      </c>
      <c r="D76" s="14" t="s">
        <v>37</v>
      </c>
      <c r="E76" s="14" t="s">
        <v>1060</v>
      </c>
      <c r="F76" s="14" t="s">
        <v>1061</v>
      </c>
      <c r="G76" s="14" t="s">
        <v>63</v>
      </c>
      <c r="H76" s="14" t="s">
        <v>1084</v>
      </c>
      <c r="I76" s="14" t="s">
        <v>1256</v>
      </c>
      <c r="J76" s="18" t="n">
        <v>3</v>
      </c>
      <c r="K76" s="14"/>
      <c r="L76" s="14"/>
      <c r="M76" s="14"/>
      <c r="N76" s="14"/>
      <c r="O76" s="14" t="s">
        <v>1259</v>
      </c>
      <c r="P76" s="14" t="s">
        <v>1057</v>
      </c>
    </row>
    <row r="77" customFormat="false" ht="22.35" hidden="false" customHeight="false" outlineLevel="0" collapsed="false">
      <c r="A77" s="14" t="s">
        <v>1371</v>
      </c>
      <c r="B77" s="14" t="s">
        <v>1062</v>
      </c>
      <c r="C77" s="14" t="s">
        <v>145</v>
      </c>
      <c r="D77" s="14" t="s">
        <v>37</v>
      </c>
      <c r="E77" s="14" t="s">
        <v>1063</v>
      </c>
      <c r="F77" s="14" t="s">
        <v>559</v>
      </c>
      <c r="G77" s="14" t="s">
        <v>63</v>
      </c>
      <c r="H77" s="14" t="s">
        <v>1084</v>
      </c>
      <c r="I77" s="14" t="s">
        <v>1256</v>
      </c>
      <c r="J77" s="18" t="n">
        <v>3</v>
      </c>
      <c r="K77" s="14"/>
      <c r="L77" s="14"/>
      <c r="M77" s="14"/>
      <c r="N77" s="14"/>
      <c r="O77" s="14" t="s">
        <v>1259</v>
      </c>
      <c r="P77" s="14" t="s">
        <v>1057</v>
      </c>
    </row>
    <row r="78" customFormat="false" ht="15" hidden="false" customHeight="false" outlineLevel="0" collapsed="false">
      <c r="A78" s="14" t="s">
        <v>1372</v>
      </c>
      <c r="B78" s="14" t="s">
        <v>1373</v>
      </c>
      <c r="C78" s="14"/>
      <c r="D78" s="14" t="s">
        <v>29</v>
      </c>
      <c r="E78" s="14" t="s">
        <v>1374</v>
      </c>
      <c r="F78" s="14"/>
      <c r="G78" s="14"/>
      <c r="H78" s="14" t="s">
        <v>1278</v>
      </c>
      <c r="I78" s="14" t="s">
        <v>1291</v>
      </c>
      <c r="J78" s="14"/>
      <c r="K78" s="14"/>
      <c r="L78" s="14"/>
      <c r="M78" s="14"/>
      <c r="N78" s="14"/>
      <c r="O78" s="14" t="s">
        <v>1279</v>
      </c>
      <c r="P78" s="14"/>
    </row>
    <row r="79" customFormat="false" ht="15" hidden="false" customHeight="false" outlineLevel="0" collapsed="false">
      <c r="A79" s="14" t="s">
        <v>1375</v>
      </c>
      <c r="B79" s="14" t="s">
        <v>1376</v>
      </c>
      <c r="C79" s="14"/>
      <c r="D79" s="14" t="s">
        <v>29</v>
      </c>
      <c r="E79" s="14" t="s">
        <v>1374</v>
      </c>
      <c r="F79" s="14"/>
      <c r="G79" s="14"/>
      <c r="H79" s="14" t="s">
        <v>1278</v>
      </c>
      <c r="I79" s="14" t="s">
        <v>1291</v>
      </c>
      <c r="J79" s="14"/>
      <c r="K79" s="14"/>
      <c r="L79" s="14"/>
      <c r="M79" s="14"/>
      <c r="N79" s="14"/>
      <c r="O79" s="14" t="s">
        <v>1279</v>
      </c>
      <c r="P79" s="14"/>
    </row>
    <row r="80" customFormat="false" ht="15" hidden="false" customHeight="false" outlineLevel="0" collapsed="false">
      <c r="A80" s="14" t="s">
        <v>1377</v>
      </c>
      <c r="B80" s="14" t="s">
        <v>1378</v>
      </c>
      <c r="C80" s="14"/>
      <c r="D80" s="14" t="s">
        <v>29</v>
      </c>
      <c r="E80" s="14" t="s">
        <v>1374</v>
      </c>
      <c r="F80" s="14"/>
      <c r="G80" s="14"/>
      <c r="H80" s="14" t="s">
        <v>1278</v>
      </c>
      <c r="I80" s="14" t="s">
        <v>1291</v>
      </c>
      <c r="J80" s="14"/>
      <c r="K80" s="14"/>
      <c r="L80" s="14"/>
      <c r="M80" s="14"/>
      <c r="N80" s="14"/>
      <c r="O80" s="14" t="s">
        <v>1279</v>
      </c>
      <c r="P80" s="14"/>
    </row>
    <row r="81" customFormat="false" ht="15" hidden="false" customHeight="false" outlineLevel="0" collapsed="false">
      <c r="A81" s="14" t="s">
        <v>1379</v>
      </c>
      <c r="B81" s="14" t="s">
        <v>1380</v>
      </c>
      <c r="C81" s="14"/>
      <c r="D81" s="14" t="s">
        <v>29</v>
      </c>
      <c r="E81" s="14" t="s">
        <v>1374</v>
      </c>
      <c r="F81" s="14"/>
      <c r="G81" s="14"/>
      <c r="H81" s="14" t="s">
        <v>1278</v>
      </c>
      <c r="I81" s="14" t="s">
        <v>1291</v>
      </c>
      <c r="J81" s="14"/>
      <c r="K81" s="14"/>
      <c r="L81" s="14"/>
      <c r="M81" s="14"/>
      <c r="N81" s="14"/>
      <c r="O81" s="14" t="s">
        <v>1279</v>
      </c>
      <c r="P81" s="14"/>
    </row>
    <row r="82" customFormat="false" ht="22.35" hidden="false" customHeight="false" outlineLevel="0" collapsed="false">
      <c r="A82" s="14" t="s">
        <v>1381</v>
      </c>
      <c r="B82" s="14" t="s">
        <v>560</v>
      </c>
      <c r="C82" s="14"/>
      <c r="D82" s="14" t="s">
        <v>29</v>
      </c>
      <c r="E82" s="14" t="s">
        <v>154</v>
      </c>
      <c r="F82" s="14" t="s">
        <v>62</v>
      </c>
      <c r="G82" s="14" t="s">
        <v>63</v>
      </c>
      <c r="H82" s="14" t="s">
        <v>1084</v>
      </c>
      <c r="I82" s="14" t="s">
        <v>1256</v>
      </c>
      <c r="J82" s="17" t="n">
        <v>2</v>
      </c>
      <c r="K82" s="14"/>
      <c r="L82" s="14"/>
      <c r="M82" s="14"/>
      <c r="N82" s="14"/>
      <c r="O82" s="14" t="s">
        <v>1259</v>
      </c>
      <c r="P82" s="14"/>
    </row>
    <row r="83" customFormat="false" ht="22.35" hidden="false" customHeight="false" outlineLevel="0" collapsed="false">
      <c r="A83" s="14" t="s">
        <v>1382</v>
      </c>
      <c r="B83" s="14" t="s">
        <v>137</v>
      </c>
      <c r="C83" s="14" t="s">
        <v>138</v>
      </c>
      <c r="D83" s="14" t="s">
        <v>29</v>
      </c>
      <c r="E83" s="14" t="s">
        <v>139</v>
      </c>
      <c r="F83" s="14" t="s">
        <v>62</v>
      </c>
      <c r="G83" s="14" t="s">
        <v>63</v>
      </c>
      <c r="H83" s="14" t="s">
        <v>1084</v>
      </c>
      <c r="I83" s="14" t="s">
        <v>1256</v>
      </c>
      <c r="J83" s="15" t="n">
        <v>1</v>
      </c>
      <c r="K83" s="14"/>
      <c r="L83" s="14"/>
      <c r="M83" s="14"/>
      <c r="N83" s="14"/>
      <c r="O83" s="14" t="s">
        <v>1259</v>
      </c>
      <c r="P83" s="14"/>
    </row>
    <row r="84" customFormat="false" ht="22.35" hidden="false" customHeight="false" outlineLevel="0" collapsed="false">
      <c r="A84" s="14" t="s">
        <v>1383</v>
      </c>
      <c r="B84" s="14" t="s">
        <v>564</v>
      </c>
      <c r="C84" s="14" t="s">
        <v>565</v>
      </c>
      <c r="D84" s="14" t="s">
        <v>29</v>
      </c>
      <c r="E84" s="14" t="s">
        <v>154</v>
      </c>
      <c r="F84" s="14" t="s">
        <v>62</v>
      </c>
      <c r="G84" s="14" t="s">
        <v>63</v>
      </c>
      <c r="H84" s="14" t="s">
        <v>1084</v>
      </c>
      <c r="I84" s="14" t="s">
        <v>1256</v>
      </c>
      <c r="J84" s="17" t="n">
        <v>2</v>
      </c>
      <c r="K84" s="14"/>
      <c r="L84" s="14"/>
      <c r="M84" s="14"/>
      <c r="N84" s="14"/>
      <c r="O84" s="14" t="s">
        <v>1259</v>
      </c>
      <c r="P84" s="14"/>
    </row>
    <row r="85" customFormat="false" ht="22.35" hidden="false" customHeight="false" outlineLevel="0" collapsed="false">
      <c r="A85" s="14" t="s">
        <v>1384</v>
      </c>
      <c r="B85" s="14" t="s">
        <v>144</v>
      </c>
      <c r="C85" s="14" t="s">
        <v>145</v>
      </c>
      <c r="D85" s="14" t="s">
        <v>29</v>
      </c>
      <c r="E85" s="14" t="s">
        <v>146</v>
      </c>
      <c r="F85" s="14" t="s">
        <v>147</v>
      </c>
      <c r="G85" s="14" t="s">
        <v>63</v>
      </c>
      <c r="H85" s="14" t="s">
        <v>1084</v>
      </c>
      <c r="I85" s="14" t="s">
        <v>1256</v>
      </c>
      <c r="J85" s="15" t="n">
        <v>1</v>
      </c>
      <c r="K85" s="14"/>
      <c r="L85" s="14"/>
      <c r="M85" s="14"/>
      <c r="N85" s="14"/>
      <c r="O85" s="14" t="s">
        <v>1259</v>
      </c>
      <c r="P85" s="14"/>
    </row>
    <row r="86" customFormat="false" ht="22.35" hidden="false" customHeight="false" outlineLevel="0" collapsed="false">
      <c r="A86" s="14" t="s">
        <v>1385</v>
      </c>
      <c r="B86" s="14" t="s">
        <v>149</v>
      </c>
      <c r="C86" s="14" t="s">
        <v>150</v>
      </c>
      <c r="D86" s="14" t="s">
        <v>29</v>
      </c>
      <c r="E86" s="14" t="s">
        <v>151</v>
      </c>
      <c r="F86" s="14" t="s">
        <v>62</v>
      </c>
      <c r="G86" s="14" t="s">
        <v>63</v>
      </c>
      <c r="H86" s="14" t="s">
        <v>1084</v>
      </c>
      <c r="I86" s="14" t="s">
        <v>1256</v>
      </c>
      <c r="J86" s="15" t="n">
        <v>1</v>
      </c>
      <c r="K86" s="14"/>
      <c r="L86" s="14"/>
      <c r="M86" s="14"/>
      <c r="N86" s="14"/>
      <c r="O86" s="14" t="s">
        <v>1259</v>
      </c>
      <c r="P86" s="14"/>
    </row>
    <row r="87" customFormat="false" ht="22.35" hidden="false" customHeight="false" outlineLevel="0" collapsed="false">
      <c r="A87" s="14" t="s">
        <v>1386</v>
      </c>
      <c r="B87" s="14" t="s">
        <v>153</v>
      </c>
      <c r="C87" s="14" t="s">
        <v>145</v>
      </c>
      <c r="D87" s="14" t="s">
        <v>29</v>
      </c>
      <c r="E87" s="14" t="s">
        <v>154</v>
      </c>
      <c r="F87" s="14" t="s">
        <v>62</v>
      </c>
      <c r="G87" s="14" t="s">
        <v>63</v>
      </c>
      <c r="H87" s="14" t="s">
        <v>1084</v>
      </c>
      <c r="I87" s="14" t="s">
        <v>1256</v>
      </c>
      <c r="J87" s="15" t="n">
        <v>1</v>
      </c>
      <c r="K87" s="14"/>
      <c r="L87" s="14"/>
      <c r="M87" s="14"/>
      <c r="N87" s="14"/>
      <c r="O87" s="14" t="s">
        <v>1259</v>
      </c>
      <c r="P87" s="14"/>
    </row>
    <row r="88" customFormat="false" ht="22.35" hidden="false" customHeight="false" outlineLevel="0" collapsed="false">
      <c r="A88" s="14" t="s">
        <v>1387</v>
      </c>
      <c r="B88" s="14" t="s">
        <v>566</v>
      </c>
      <c r="C88" s="14"/>
      <c r="D88" s="14" t="s">
        <v>29</v>
      </c>
      <c r="E88" s="14" t="s">
        <v>154</v>
      </c>
      <c r="F88" s="14" t="s">
        <v>215</v>
      </c>
      <c r="G88" s="14" t="s">
        <v>77</v>
      </c>
      <c r="H88" s="14" t="s">
        <v>1084</v>
      </c>
      <c r="I88" s="14" t="s">
        <v>1256</v>
      </c>
      <c r="J88" s="17" t="n">
        <v>2</v>
      </c>
      <c r="K88" s="14"/>
      <c r="L88" s="14"/>
      <c r="M88" s="14"/>
      <c r="N88" s="14"/>
      <c r="O88" s="14" t="s">
        <v>1259</v>
      </c>
      <c r="P88" s="14"/>
    </row>
    <row r="89" customFormat="false" ht="22.35" hidden="false" customHeight="false" outlineLevel="0" collapsed="false">
      <c r="A89" s="14" t="s">
        <v>1388</v>
      </c>
      <c r="B89" s="14" t="s">
        <v>567</v>
      </c>
      <c r="C89" s="14" t="s">
        <v>568</v>
      </c>
      <c r="D89" s="14" t="s">
        <v>29</v>
      </c>
      <c r="E89" s="14" t="s">
        <v>569</v>
      </c>
      <c r="F89" s="14" t="s">
        <v>215</v>
      </c>
      <c r="G89" s="14" t="s">
        <v>77</v>
      </c>
      <c r="H89" s="14" t="s">
        <v>1084</v>
      </c>
      <c r="I89" s="14" t="s">
        <v>1256</v>
      </c>
      <c r="J89" s="17" t="n">
        <v>2</v>
      </c>
      <c r="K89" s="14"/>
      <c r="L89" s="14"/>
      <c r="M89" s="14"/>
      <c r="N89" s="14"/>
      <c r="O89" s="14" t="s">
        <v>1259</v>
      </c>
      <c r="P89" s="14"/>
    </row>
    <row r="90" customFormat="false" ht="22.35" hidden="false" customHeight="false" outlineLevel="0" collapsed="false">
      <c r="A90" s="14" t="s">
        <v>1389</v>
      </c>
      <c r="B90" s="14" t="s">
        <v>1064</v>
      </c>
      <c r="C90" s="14" t="s">
        <v>1065</v>
      </c>
      <c r="D90" s="14" t="s">
        <v>32</v>
      </c>
      <c r="E90" s="14" t="s">
        <v>1066</v>
      </c>
      <c r="F90" s="14" t="s">
        <v>1067</v>
      </c>
      <c r="G90" s="14" t="s">
        <v>77</v>
      </c>
      <c r="H90" s="14" t="s">
        <v>1084</v>
      </c>
      <c r="I90" s="14" t="s">
        <v>1256</v>
      </c>
      <c r="J90" s="18" t="n">
        <v>3</v>
      </c>
      <c r="K90" s="14"/>
      <c r="L90" s="14"/>
      <c r="M90" s="14"/>
      <c r="N90" s="14"/>
      <c r="O90" s="14" t="s">
        <v>1259</v>
      </c>
      <c r="P90" s="14"/>
    </row>
    <row r="91" customFormat="false" ht="22.35" hidden="false" customHeight="false" outlineLevel="0" collapsed="false">
      <c r="A91" s="14" t="s">
        <v>1390</v>
      </c>
      <c r="B91" s="14" t="s">
        <v>1070</v>
      </c>
      <c r="C91" s="14" t="s">
        <v>1071</v>
      </c>
      <c r="D91" s="14" t="s">
        <v>32</v>
      </c>
      <c r="E91" s="14" t="s">
        <v>1072</v>
      </c>
      <c r="F91" s="14" t="s">
        <v>62</v>
      </c>
      <c r="G91" s="14" t="s">
        <v>63</v>
      </c>
      <c r="H91" s="14" t="s">
        <v>1084</v>
      </c>
      <c r="I91" s="14" t="s">
        <v>1256</v>
      </c>
      <c r="J91" s="18" t="n">
        <v>3</v>
      </c>
      <c r="K91" s="14"/>
      <c r="L91" s="14"/>
      <c r="M91" s="14"/>
      <c r="N91" s="14"/>
      <c r="O91" s="14" t="s">
        <v>1259</v>
      </c>
      <c r="P91" s="14"/>
    </row>
    <row r="92" customFormat="false" ht="22.35" hidden="false" customHeight="false" outlineLevel="0" collapsed="false">
      <c r="A92" s="14" t="s">
        <v>1391</v>
      </c>
      <c r="B92" s="14" t="s">
        <v>1073</v>
      </c>
      <c r="C92" s="14" t="s">
        <v>1074</v>
      </c>
      <c r="D92" s="14" t="s">
        <v>32</v>
      </c>
      <c r="E92" s="14" t="s">
        <v>1075</v>
      </c>
      <c r="F92" s="14" t="s">
        <v>62</v>
      </c>
      <c r="G92" s="14" t="s">
        <v>63</v>
      </c>
      <c r="H92" s="14" t="s">
        <v>1084</v>
      </c>
      <c r="I92" s="14" t="s">
        <v>1256</v>
      </c>
      <c r="J92" s="18" t="n">
        <v>3</v>
      </c>
      <c r="K92" s="14"/>
      <c r="L92" s="14"/>
      <c r="M92" s="14"/>
      <c r="N92" s="14"/>
      <c r="O92" s="14" t="s">
        <v>1259</v>
      </c>
      <c r="P92" s="14"/>
    </row>
    <row r="93" customFormat="false" ht="22.35" hidden="false" customHeight="false" outlineLevel="0" collapsed="false">
      <c r="A93" s="14" t="s">
        <v>1392</v>
      </c>
      <c r="B93" s="14" t="s">
        <v>1076</v>
      </c>
      <c r="C93" s="14" t="s">
        <v>836</v>
      </c>
      <c r="D93" s="14" t="s">
        <v>32</v>
      </c>
      <c r="E93" s="14" t="s">
        <v>1075</v>
      </c>
      <c r="F93" s="14" t="s">
        <v>62</v>
      </c>
      <c r="G93" s="14" t="s">
        <v>63</v>
      </c>
      <c r="H93" s="14" t="s">
        <v>1084</v>
      </c>
      <c r="I93" s="14" t="s">
        <v>1256</v>
      </c>
      <c r="J93" s="18" t="n">
        <v>3</v>
      </c>
      <c r="K93" s="14"/>
      <c r="L93" s="14"/>
      <c r="M93" s="14"/>
      <c r="N93" s="14"/>
      <c r="O93" s="14" t="s">
        <v>1259</v>
      </c>
      <c r="P93" s="14"/>
    </row>
    <row r="94" customFormat="false" ht="22.35" hidden="false" customHeight="false" outlineLevel="0" collapsed="false">
      <c r="A94" s="14" t="s">
        <v>1393</v>
      </c>
      <c r="B94" s="14" t="s">
        <v>1077</v>
      </c>
      <c r="C94" s="14" t="s">
        <v>820</v>
      </c>
      <c r="D94" s="14" t="s">
        <v>32</v>
      </c>
      <c r="E94" s="14" t="s">
        <v>1078</v>
      </c>
      <c r="F94" s="14" t="s">
        <v>62</v>
      </c>
      <c r="G94" s="14" t="s">
        <v>63</v>
      </c>
      <c r="H94" s="14" t="s">
        <v>1084</v>
      </c>
      <c r="I94" s="14" t="s">
        <v>1256</v>
      </c>
      <c r="J94" s="18" t="n">
        <v>3</v>
      </c>
      <c r="K94" s="14"/>
      <c r="L94" s="14"/>
      <c r="M94" s="14"/>
      <c r="N94" s="14"/>
      <c r="O94" s="14" t="s">
        <v>1259</v>
      </c>
      <c r="P94" s="14"/>
    </row>
    <row r="95" customFormat="false" ht="15" hidden="false" customHeight="false" outlineLevel="0" collapsed="false">
      <c r="A95" s="14" t="s">
        <v>1394</v>
      </c>
      <c r="B95" s="14" t="s">
        <v>1395</v>
      </c>
      <c r="C95" s="14" t="s">
        <v>1337</v>
      </c>
      <c r="D95" s="14" t="s">
        <v>41</v>
      </c>
      <c r="E95" s="14" t="s">
        <v>1396</v>
      </c>
      <c r="F95" s="14" t="s">
        <v>736</v>
      </c>
      <c r="G95" s="14" t="s">
        <v>77</v>
      </c>
      <c r="H95" s="14" t="s">
        <v>1278</v>
      </c>
      <c r="I95" s="14" t="s">
        <v>1256</v>
      </c>
      <c r="J95" s="14"/>
      <c r="K95" s="14"/>
      <c r="L95" s="14"/>
      <c r="M95" s="14"/>
      <c r="N95" s="14"/>
      <c r="O95" s="14" t="s">
        <v>1279</v>
      </c>
      <c r="P95" s="14"/>
    </row>
    <row r="96" customFormat="false" ht="22.35" hidden="false" customHeight="false" outlineLevel="0" collapsed="false">
      <c r="A96" s="14" t="s">
        <v>1397</v>
      </c>
      <c r="B96" s="14" t="s">
        <v>1398</v>
      </c>
      <c r="C96" s="14" t="s">
        <v>577</v>
      </c>
      <c r="D96" s="14" t="s">
        <v>41</v>
      </c>
      <c r="E96" s="14" t="s">
        <v>1396</v>
      </c>
      <c r="F96" s="14" t="s">
        <v>1399</v>
      </c>
      <c r="G96" s="14" t="s">
        <v>63</v>
      </c>
      <c r="H96" s="14" t="s">
        <v>1278</v>
      </c>
      <c r="I96" s="14" t="s">
        <v>1291</v>
      </c>
      <c r="J96" s="14"/>
      <c r="K96" s="14"/>
      <c r="L96" s="14"/>
      <c r="M96" s="14"/>
      <c r="N96" s="14"/>
      <c r="O96" s="14" t="s">
        <v>1279</v>
      </c>
      <c r="P96" s="14"/>
    </row>
    <row r="97" customFormat="false" ht="22.35" hidden="false" customHeight="false" outlineLevel="0" collapsed="false">
      <c r="A97" s="14" t="s">
        <v>1400</v>
      </c>
      <c r="B97" s="14" t="s">
        <v>1401</v>
      </c>
      <c r="C97" s="14"/>
      <c r="D97" s="14" t="s">
        <v>41</v>
      </c>
      <c r="E97" s="14" t="s">
        <v>1396</v>
      </c>
      <c r="F97" s="14"/>
      <c r="G97" s="14"/>
      <c r="H97" s="14" t="s">
        <v>1278</v>
      </c>
      <c r="I97" s="14" t="s">
        <v>1291</v>
      </c>
      <c r="J97" s="14"/>
      <c r="K97" s="14"/>
      <c r="L97" s="14"/>
      <c r="M97" s="14"/>
      <c r="N97" s="14"/>
      <c r="O97" s="14" t="s">
        <v>1279</v>
      </c>
      <c r="P97" s="14" t="s">
        <v>1402</v>
      </c>
    </row>
    <row r="98" customFormat="false" ht="22.35" hidden="false" customHeight="false" outlineLevel="0" collapsed="false">
      <c r="A98" s="14" t="s">
        <v>1403</v>
      </c>
      <c r="B98" s="14" t="s">
        <v>570</v>
      </c>
      <c r="C98" s="14"/>
      <c r="D98" s="14" t="s">
        <v>41</v>
      </c>
      <c r="E98" s="14" t="s">
        <v>571</v>
      </c>
      <c r="F98" s="14" t="s">
        <v>572</v>
      </c>
      <c r="G98" s="14" t="s">
        <v>63</v>
      </c>
      <c r="H98" s="14" t="s">
        <v>1084</v>
      </c>
      <c r="I98" s="14" t="s">
        <v>1256</v>
      </c>
      <c r="J98" s="17" t="n">
        <v>2</v>
      </c>
      <c r="K98" s="14"/>
      <c r="L98" s="14"/>
      <c r="M98" s="14"/>
      <c r="N98" s="14"/>
      <c r="O98" s="14" t="s">
        <v>1259</v>
      </c>
      <c r="P98" s="14"/>
    </row>
    <row r="99" customFormat="false" ht="22.35" hidden="false" customHeight="false" outlineLevel="0" collapsed="false">
      <c r="A99" s="14" t="s">
        <v>1404</v>
      </c>
      <c r="B99" s="14" t="s">
        <v>576</v>
      </c>
      <c r="C99" s="14" t="s">
        <v>577</v>
      </c>
      <c r="D99" s="14" t="s">
        <v>41</v>
      </c>
      <c r="E99" s="14" t="s">
        <v>578</v>
      </c>
      <c r="F99" s="14" t="s">
        <v>579</v>
      </c>
      <c r="G99" s="14" t="s">
        <v>63</v>
      </c>
      <c r="H99" s="14" t="s">
        <v>1084</v>
      </c>
      <c r="I99" s="14" t="s">
        <v>1256</v>
      </c>
      <c r="J99" s="17" t="n">
        <v>2</v>
      </c>
      <c r="K99" s="14"/>
      <c r="L99" s="14"/>
      <c r="M99" s="14"/>
      <c r="N99" s="14"/>
      <c r="O99" s="14" t="s">
        <v>1259</v>
      </c>
      <c r="P99" s="14" t="s">
        <v>580</v>
      </c>
    </row>
    <row r="100" customFormat="false" ht="15" hidden="false" customHeight="false" outlineLevel="0" collapsed="false">
      <c r="A100" s="14" t="s">
        <v>1405</v>
      </c>
      <c r="B100" s="14" t="s">
        <v>1406</v>
      </c>
      <c r="C100" s="14"/>
      <c r="D100" s="14" t="s">
        <v>10</v>
      </c>
      <c r="E100" s="14" t="s">
        <v>1407</v>
      </c>
      <c r="F100" s="14"/>
      <c r="G100" s="14"/>
      <c r="H100" s="14" t="s">
        <v>1278</v>
      </c>
      <c r="I100" s="14" t="s">
        <v>1291</v>
      </c>
      <c r="J100" s="14"/>
      <c r="K100" s="14"/>
      <c r="L100" s="14"/>
      <c r="M100" s="14"/>
      <c r="N100" s="14"/>
      <c r="O100" s="14" t="s">
        <v>1279</v>
      </c>
      <c r="P100" s="14"/>
    </row>
    <row r="101" customFormat="false" ht="22.35" hidden="false" customHeight="false" outlineLevel="0" collapsed="false">
      <c r="A101" s="14" t="s">
        <v>1408</v>
      </c>
      <c r="B101" s="14" t="s">
        <v>1409</v>
      </c>
      <c r="C101" s="14"/>
      <c r="D101" s="14" t="s">
        <v>10</v>
      </c>
      <c r="E101" s="14" t="s">
        <v>1407</v>
      </c>
      <c r="F101" s="14"/>
      <c r="G101" s="14"/>
      <c r="H101" s="14" t="s">
        <v>1278</v>
      </c>
      <c r="I101" s="14" t="s">
        <v>1256</v>
      </c>
      <c r="J101" s="14"/>
      <c r="K101" s="14"/>
      <c r="L101" s="14"/>
      <c r="M101" s="14" t="s">
        <v>1410</v>
      </c>
      <c r="N101" s="14"/>
      <c r="O101" s="14" t="s">
        <v>1279</v>
      </c>
      <c r="P101" s="14" t="s">
        <v>1411</v>
      </c>
    </row>
    <row r="102" customFormat="false" ht="15" hidden="false" customHeight="false" outlineLevel="0" collapsed="false">
      <c r="A102" s="14" t="s">
        <v>1412</v>
      </c>
      <c r="B102" s="14" t="s">
        <v>1413</v>
      </c>
      <c r="C102" s="14"/>
      <c r="D102" s="14" t="s">
        <v>10</v>
      </c>
      <c r="E102" s="14" t="s">
        <v>1407</v>
      </c>
      <c r="F102" s="14"/>
      <c r="G102" s="14"/>
      <c r="H102" s="14" t="s">
        <v>1278</v>
      </c>
      <c r="I102" s="14" t="s">
        <v>1256</v>
      </c>
      <c r="J102" s="14"/>
      <c r="K102" s="14" t="s">
        <v>1414</v>
      </c>
      <c r="L102" s="14" t="s">
        <v>1415</v>
      </c>
      <c r="M102" s="14" t="s">
        <v>1416</v>
      </c>
      <c r="N102" s="14"/>
      <c r="O102" s="14" t="s">
        <v>1279</v>
      </c>
      <c r="P102" s="14"/>
    </row>
    <row r="103" customFormat="false" ht="22.35" hidden="false" customHeight="false" outlineLevel="0" collapsed="false">
      <c r="A103" s="14" t="s">
        <v>1417</v>
      </c>
      <c r="B103" s="14" t="s">
        <v>1418</v>
      </c>
      <c r="C103" s="14"/>
      <c r="D103" s="14" t="s">
        <v>10</v>
      </c>
      <c r="E103" s="14" t="s">
        <v>1407</v>
      </c>
      <c r="F103" s="14"/>
      <c r="G103" s="14"/>
      <c r="H103" s="14" t="s">
        <v>1278</v>
      </c>
      <c r="I103" s="14" t="s">
        <v>1256</v>
      </c>
      <c r="J103" s="14"/>
      <c r="K103" s="14" t="s">
        <v>1419</v>
      </c>
      <c r="L103" s="14" t="s">
        <v>1420</v>
      </c>
      <c r="M103" s="14" t="s">
        <v>1421</v>
      </c>
      <c r="N103" s="14" t="s">
        <v>1422</v>
      </c>
      <c r="O103" s="14" t="s">
        <v>1279</v>
      </c>
      <c r="P103" s="14"/>
    </row>
    <row r="104" customFormat="false" ht="15" hidden="false" customHeight="false" outlineLevel="0" collapsed="false">
      <c r="A104" s="14" t="s">
        <v>1423</v>
      </c>
      <c r="B104" s="14" t="s">
        <v>1424</v>
      </c>
      <c r="C104" s="14"/>
      <c r="D104" s="14" t="s">
        <v>10</v>
      </c>
      <c r="E104" s="14" t="s">
        <v>1407</v>
      </c>
      <c r="F104" s="14"/>
      <c r="G104" s="14"/>
      <c r="H104" s="14" t="s">
        <v>1278</v>
      </c>
      <c r="I104" s="14" t="s">
        <v>1291</v>
      </c>
      <c r="J104" s="14"/>
      <c r="K104" s="14"/>
      <c r="L104" s="14"/>
      <c r="M104" s="14"/>
      <c r="N104" s="14"/>
      <c r="O104" s="14" t="s">
        <v>1279</v>
      </c>
      <c r="P104" s="14"/>
    </row>
    <row r="105" customFormat="false" ht="15" hidden="false" customHeight="false" outlineLevel="0" collapsed="false">
      <c r="A105" s="14" t="s">
        <v>1425</v>
      </c>
      <c r="B105" s="14" t="s">
        <v>1426</v>
      </c>
      <c r="C105" s="14"/>
      <c r="D105" s="14" t="s">
        <v>10</v>
      </c>
      <c r="E105" s="14" t="s">
        <v>1427</v>
      </c>
      <c r="F105" s="14"/>
      <c r="G105" s="14" t="s">
        <v>77</v>
      </c>
      <c r="H105" s="14" t="s">
        <v>1278</v>
      </c>
      <c r="I105" s="14" t="s">
        <v>1291</v>
      </c>
      <c r="J105" s="14"/>
      <c r="K105" s="14"/>
      <c r="L105" s="14"/>
      <c r="M105" s="14"/>
      <c r="N105" s="14"/>
      <c r="O105" s="14" t="s">
        <v>1279</v>
      </c>
      <c r="P105" s="14"/>
    </row>
    <row r="106" customFormat="false" ht="15" hidden="false" customHeight="false" outlineLevel="0" collapsed="false">
      <c r="A106" s="14" t="s">
        <v>1428</v>
      </c>
      <c r="B106" s="14" t="s">
        <v>1429</v>
      </c>
      <c r="C106" s="14"/>
      <c r="D106" s="14" t="s">
        <v>10</v>
      </c>
      <c r="E106" s="14" t="s">
        <v>1407</v>
      </c>
      <c r="F106" s="14"/>
      <c r="G106" s="14"/>
      <c r="H106" s="14" t="s">
        <v>1278</v>
      </c>
      <c r="I106" s="14" t="s">
        <v>1256</v>
      </c>
      <c r="J106" s="14"/>
      <c r="K106" s="14"/>
      <c r="L106" s="14"/>
      <c r="M106" s="14"/>
      <c r="N106" s="14"/>
      <c r="O106" s="14" t="s">
        <v>1279</v>
      </c>
      <c r="P106" s="14"/>
    </row>
    <row r="107" customFormat="false" ht="22.35" hidden="false" customHeight="false" outlineLevel="0" collapsed="false">
      <c r="A107" s="14" t="s">
        <v>1430</v>
      </c>
      <c r="B107" s="14" t="s">
        <v>158</v>
      </c>
      <c r="C107" s="14"/>
      <c r="D107" s="14" t="s">
        <v>10</v>
      </c>
      <c r="E107" s="14" t="s">
        <v>159</v>
      </c>
      <c r="F107" s="14" t="s">
        <v>160</v>
      </c>
      <c r="G107" s="14" t="s">
        <v>63</v>
      </c>
      <c r="H107" s="14" t="s">
        <v>1084</v>
      </c>
      <c r="I107" s="14" t="s">
        <v>1256</v>
      </c>
      <c r="J107" s="15" t="n">
        <v>1</v>
      </c>
      <c r="K107" s="14"/>
      <c r="L107" s="14"/>
      <c r="M107" s="14"/>
      <c r="N107" s="14"/>
      <c r="O107" s="14" t="s">
        <v>1431</v>
      </c>
      <c r="P107" s="14"/>
    </row>
    <row r="108" customFormat="false" ht="22.35" hidden="false" customHeight="false" outlineLevel="0" collapsed="false">
      <c r="A108" s="14" t="s">
        <v>1432</v>
      </c>
      <c r="B108" s="14" t="s">
        <v>581</v>
      </c>
      <c r="C108" s="14"/>
      <c r="D108" s="14" t="s">
        <v>10</v>
      </c>
      <c r="E108" s="14" t="s">
        <v>582</v>
      </c>
      <c r="F108" s="14" t="s">
        <v>215</v>
      </c>
      <c r="G108" s="14" t="s">
        <v>77</v>
      </c>
      <c r="H108" s="14" t="s">
        <v>1084</v>
      </c>
      <c r="I108" s="14" t="s">
        <v>1256</v>
      </c>
      <c r="J108" s="17" t="n">
        <v>2</v>
      </c>
      <c r="K108" s="14"/>
      <c r="L108" s="14"/>
      <c r="M108" s="14"/>
      <c r="N108" s="14"/>
      <c r="O108" s="14" t="s">
        <v>1433</v>
      </c>
      <c r="P108" s="14"/>
    </row>
    <row r="109" customFormat="false" ht="22.35" hidden="false" customHeight="false" outlineLevel="0" collapsed="false">
      <c r="A109" s="14" t="s">
        <v>1434</v>
      </c>
      <c r="B109" s="14" t="s">
        <v>586</v>
      </c>
      <c r="C109" s="14"/>
      <c r="D109" s="14" t="s">
        <v>10</v>
      </c>
      <c r="E109" s="14" t="s">
        <v>177</v>
      </c>
      <c r="F109" s="14" t="s">
        <v>62</v>
      </c>
      <c r="G109" s="14" t="s">
        <v>63</v>
      </c>
      <c r="H109" s="14" t="s">
        <v>1084</v>
      </c>
      <c r="I109" s="14" t="s">
        <v>1256</v>
      </c>
      <c r="J109" s="17" t="n">
        <v>2</v>
      </c>
      <c r="K109" s="14"/>
      <c r="L109" s="14"/>
      <c r="M109" s="14"/>
      <c r="N109" s="14"/>
      <c r="O109" s="14" t="s">
        <v>1433</v>
      </c>
      <c r="P109" s="14"/>
    </row>
    <row r="110" customFormat="false" ht="22.35" hidden="false" customHeight="false" outlineLevel="0" collapsed="false">
      <c r="A110" s="14" t="s">
        <v>1435</v>
      </c>
      <c r="B110" s="14" t="s">
        <v>587</v>
      </c>
      <c r="C110" s="14"/>
      <c r="D110" s="14" t="s">
        <v>10</v>
      </c>
      <c r="E110" s="14" t="s">
        <v>588</v>
      </c>
      <c r="F110" s="14" t="s">
        <v>215</v>
      </c>
      <c r="G110" s="14" t="s">
        <v>77</v>
      </c>
      <c r="H110" s="14" t="s">
        <v>1084</v>
      </c>
      <c r="I110" s="14" t="s">
        <v>1256</v>
      </c>
      <c r="J110" s="17" t="n">
        <v>2</v>
      </c>
      <c r="K110" s="14"/>
      <c r="L110" s="14"/>
      <c r="M110" s="14"/>
      <c r="N110" s="14"/>
      <c r="O110" s="14" t="s">
        <v>1259</v>
      </c>
      <c r="P110" s="14"/>
    </row>
    <row r="111" customFormat="false" ht="22.35" hidden="false" customHeight="false" outlineLevel="0" collapsed="false">
      <c r="A111" s="14" t="s">
        <v>1436</v>
      </c>
      <c r="B111" s="14" t="s">
        <v>589</v>
      </c>
      <c r="C111" s="14" t="s">
        <v>590</v>
      </c>
      <c r="D111" s="14" t="s">
        <v>10</v>
      </c>
      <c r="E111" s="14" t="s">
        <v>591</v>
      </c>
      <c r="F111" s="14" t="s">
        <v>62</v>
      </c>
      <c r="G111" s="14" t="s">
        <v>63</v>
      </c>
      <c r="H111" s="14" t="s">
        <v>1084</v>
      </c>
      <c r="I111" s="14" t="s">
        <v>1256</v>
      </c>
      <c r="J111" s="17" t="n">
        <v>2</v>
      </c>
      <c r="K111" s="14"/>
      <c r="L111" s="14"/>
      <c r="M111" s="14"/>
      <c r="N111" s="14"/>
      <c r="O111" s="14" t="s">
        <v>1259</v>
      </c>
      <c r="P111" s="14"/>
    </row>
    <row r="112" customFormat="false" ht="22.35" hidden="false" customHeight="false" outlineLevel="0" collapsed="false">
      <c r="A112" s="14" t="s">
        <v>1437</v>
      </c>
      <c r="B112" s="14" t="s">
        <v>592</v>
      </c>
      <c r="C112" s="14"/>
      <c r="D112" s="14" t="s">
        <v>10</v>
      </c>
      <c r="E112" s="14" t="s">
        <v>593</v>
      </c>
      <c r="F112" s="14" t="s">
        <v>62</v>
      </c>
      <c r="G112" s="14" t="s">
        <v>63</v>
      </c>
      <c r="H112" s="14" t="s">
        <v>1084</v>
      </c>
      <c r="I112" s="14" t="s">
        <v>1256</v>
      </c>
      <c r="J112" s="17" t="n">
        <v>2</v>
      </c>
      <c r="K112" s="14"/>
      <c r="L112" s="14"/>
      <c r="M112" s="14"/>
      <c r="N112" s="14"/>
      <c r="O112" s="14" t="s">
        <v>1433</v>
      </c>
      <c r="P112" s="14"/>
    </row>
    <row r="113" customFormat="false" ht="32.8" hidden="false" customHeight="false" outlineLevel="0" collapsed="false">
      <c r="A113" s="14" t="s">
        <v>1438</v>
      </c>
      <c r="B113" s="14" t="s">
        <v>165</v>
      </c>
      <c r="C113" s="14" t="s">
        <v>166</v>
      </c>
      <c r="D113" s="14" t="s">
        <v>10</v>
      </c>
      <c r="E113" s="14" t="s">
        <v>167</v>
      </c>
      <c r="F113" s="14" t="s">
        <v>168</v>
      </c>
      <c r="G113" s="14" t="s">
        <v>63</v>
      </c>
      <c r="H113" s="14" t="s">
        <v>1084</v>
      </c>
      <c r="I113" s="14" t="s">
        <v>1256</v>
      </c>
      <c r="J113" s="15" t="n">
        <v>1</v>
      </c>
      <c r="K113" s="14"/>
      <c r="L113" s="14"/>
      <c r="M113" s="14"/>
      <c r="N113" s="14"/>
      <c r="O113" s="14" t="s">
        <v>1439</v>
      </c>
      <c r="P113" s="14"/>
    </row>
    <row r="114" customFormat="false" ht="22.35" hidden="false" customHeight="false" outlineLevel="0" collapsed="false">
      <c r="A114" s="14" t="s">
        <v>1440</v>
      </c>
      <c r="B114" s="14" t="s">
        <v>594</v>
      </c>
      <c r="C114" s="14" t="s">
        <v>595</v>
      </c>
      <c r="D114" s="14" t="s">
        <v>10</v>
      </c>
      <c r="E114" s="14" t="s">
        <v>596</v>
      </c>
      <c r="F114" s="14" t="s">
        <v>597</v>
      </c>
      <c r="G114" s="14" t="s">
        <v>77</v>
      </c>
      <c r="H114" s="14" t="s">
        <v>1084</v>
      </c>
      <c r="I114" s="14" t="s">
        <v>1256</v>
      </c>
      <c r="J114" s="17" t="n">
        <v>2</v>
      </c>
      <c r="K114" s="14"/>
      <c r="L114" s="14"/>
      <c r="M114" s="14"/>
      <c r="N114" s="14"/>
      <c r="O114" s="14" t="s">
        <v>1259</v>
      </c>
      <c r="P114" s="14"/>
    </row>
    <row r="115" customFormat="false" ht="22.35" hidden="false" customHeight="false" outlineLevel="0" collapsed="false">
      <c r="A115" s="14" t="s">
        <v>1441</v>
      </c>
      <c r="B115" s="14" t="s">
        <v>598</v>
      </c>
      <c r="C115" s="14" t="s">
        <v>599</v>
      </c>
      <c r="D115" s="14" t="s">
        <v>10</v>
      </c>
      <c r="E115" s="14" t="s">
        <v>600</v>
      </c>
      <c r="F115" s="14" t="s">
        <v>601</v>
      </c>
      <c r="G115" s="14" t="s">
        <v>77</v>
      </c>
      <c r="H115" s="14" t="s">
        <v>1084</v>
      </c>
      <c r="I115" s="14" t="s">
        <v>1256</v>
      </c>
      <c r="J115" s="17" t="n">
        <v>2</v>
      </c>
      <c r="K115" s="14"/>
      <c r="L115" s="14"/>
      <c r="M115" s="14"/>
      <c r="N115" s="14"/>
      <c r="O115" s="14" t="s">
        <v>1259</v>
      </c>
      <c r="P115" s="14"/>
    </row>
    <row r="116" customFormat="false" ht="22.35" hidden="false" customHeight="false" outlineLevel="0" collapsed="false">
      <c r="A116" s="14" t="s">
        <v>1442</v>
      </c>
      <c r="B116" s="14" t="s">
        <v>602</v>
      </c>
      <c r="C116" s="14" t="s">
        <v>603</v>
      </c>
      <c r="D116" s="14" t="s">
        <v>10</v>
      </c>
      <c r="E116" s="14" t="s">
        <v>604</v>
      </c>
      <c r="F116" s="14" t="s">
        <v>550</v>
      </c>
      <c r="G116" s="14" t="s">
        <v>77</v>
      </c>
      <c r="H116" s="14" t="s">
        <v>1084</v>
      </c>
      <c r="I116" s="14" t="s">
        <v>1256</v>
      </c>
      <c r="J116" s="17" t="n">
        <v>2</v>
      </c>
      <c r="K116" s="14"/>
      <c r="L116" s="14"/>
      <c r="M116" s="14"/>
      <c r="N116" s="14"/>
      <c r="O116" s="14" t="s">
        <v>1259</v>
      </c>
      <c r="P116" s="14"/>
    </row>
    <row r="117" customFormat="false" ht="22.35" hidden="false" customHeight="false" outlineLevel="0" collapsed="false">
      <c r="A117" s="14" t="s">
        <v>1443</v>
      </c>
      <c r="B117" s="14" t="s">
        <v>605</v>
      </c>
      <c r="C117" s="14" t="s">
        <v>104</v>
      </c>
      <c r="D117" s="14" t="s">
        <v>10</v>
      </c>
      <c r="E117" s="14" t="s">
        <v>177</v>
      </c>
      <c r="F117" s="14" t="s">
        <v>606</v>
      </c>
      <c r="G117" s="14" t="s">
        <v>63</v>
      </c>
      <c r="H117" s="14" t="s">
        <v>1084</v>
      </c>
      <c r="I117" s="14" t="s">
        <v>1256</v>
      </c>
      <c r="J117" s="17" t="n">
        <v>2</v>
      </c>
      <c r="K117" s="14"/>
      <c r="L117" s="14"/>
      <c r="M117" s="14"/>
      <c r="N117" s="14"/>
      <c r="O117" s="14" t="s">
        <v>1259</v>
      </c>
      <c r="P117" s="14"/>
    </row>
    <row r="118" customFormat="false" ht="22.35" hidden="false" customHeight="false" outlineLevel="0" collapsed="false">
      <c r="A118" s="14" t="s">
        <v>1444</v>
      </c>
      <c r="B118" s="14" t="s">
        <v>175</v>
      </c>
      <c r="C118" s="14" t="s">
        <v>176</v>
      </c>
      <c r="D118" s="14" t="s">
        <v>10</v>
      </c>
      <c r="E118" s="14" t="s">
        <v>177</v>
      </c>
      <c r="F118" s="14" t="s">
        <v>178</v>
      </c>
      <c r="G118" s="14" t="s">
        <v>63</v>
      </c>
      <c r="H118" s="14" t="s">
        <v>1084</v>
      </c>
      <c r="I118" s="14" t="s">
        <v>1256</v>
      </c>
      <c r="J118" s="15" t="n">
        <v>1</v>
      </c>
      <c r="K118" s="14"/>
      <c r="L118" s="14"/>
      <c r="M118" s="14"/>
      <c r="N118" s="14"/>
      <c r="O118" s="14" t="s">
        <v>1259</v>
      </c>
      <c r="P118" s="14"/>
    </row>
    <row r="119" customFormat="false" ht="22.35" hidden="false" customHeight="false" outlineLevel="0" collapsed="false">
      <c r="A119" s="14" t="s">
        <v>1445</v>
      </c>
      <c r="B119" s="14" t="s">
        <v>607</v>
      </c>
      <c r="C119" s="14" t="s">
        <v>608</v>
      </c>
      <c r="D119" s="14" t="s">
        <v>10</v>
      </c>
      <c r="E119" s="14" t="s">
        <v>609</v>
      </c>
      <c r="F119" s="14" t="s">
        <v>215</v>
      </c>
      <c r="G119" s="14" t="s">
        <v>77</v>
      </c>
      <c r="H119" s="14" t="s">
        <v>1084</v>
      </c>
      <c r="I119" s="14" t="s">
        <v>1256</v>
      </c>
      <c r="J119" s="17" t="n">
        <v>2</v>
      </c>
      <c r="K119" s="14"/>
      <c r="L119" s="14"/>
      <c r="M119" s="14"/>
      <c r="N119" s="14"/>
      <c r="O119" s="14" t="s">
        <v>1433</v>
      </c>
      <c r="P119" s="14" t="s">
        <v>610</v>
      </c>
    </row>
    <row r="120" customFormat="false" ht="22.35" hidden="false" customHeight="false" outlineLevel="0" collapsed="false">
      <c r="A120" s="14" t="s">
        <v>1446</v>
      </c>
      <c r="B120" s="14" t="s">
        <v>611</v>
      </c>
      <c r="C120" s="14" t="s">
        <v>369</v>
      </c>
      <c r="D120" s="14" t="s">
        <v>10</v>
      </c>
      <c r="E120" s="14" t="s">
        <v>612</v>
      </c>
      <c r="F120" s="14" t="s">
        <v>215</v>
      </c>
      <c r="G120" s="14" t="s">
        <v>77</v>
      </c>
      <c r="H120" s="14" t="s">
        <v>1084</v>
      </c>
      <c r="I120" s="14" t="s">
        <v>1256</v>
      </c>
      <c r="J120" s="17" t="n">
        <v>2</v>
      </c>
      <c r="K120" s="14"/>
      <c r="L120" s="14"/>
      <c r="M120" s="14"/>
      <c r="N120" s="14"/>
      <c r="O120" s="14" t="s">
        <v>1259</v>
      </c>
      <c r="P120" s="14"/>
    </row>
    <row r="121" customFormat="false" ht="15" hidden="false" customHeight="false" outlineLevel="0" collapsed="false">
      <c r="A121" s="14" t="s">
        <v>1447</v>
      </c>
      <c r="B121" s="14" t="s">
        <v>613</v>
      </c>
      <c r="C121" s="14" t="s">
        <v>369</v>
      </c>
      <c r="D121" s="14" t="s">
        <v>10</v>
      </c>
      <c r="E121" s="14" t="s">
        <v>614</v>
      </c>
      <c r="F121" s="14" t="s">
        <v>215</v>
      </c>
      <c r="G121" s="14" t="s">
        <v>77</v>
      </c>
      <c r="H121" s="14" t="s">
        <v>1084</v>
      </c>
      <c r="I121" s="14" t="s">
        <v>1256</v>
      </c>
      <c r="J121" s="17" t="n">
        <v>2</v>
      </c>
      <c r="K121" s="14"/>
      <c r="L121" s="14"/>
      <c r="M121" s="14"/>
      <c r="N121" s="14"/>
      <c r="O121" s="14" t="s">
        <v>1448</v>
      </c>
      <c r="P121" s="14"/>
    </row>
    <row r="122" customFormat="false" ht="22.35" hidden="false" customHeight="false" outlineLevel="0" collapsed="false">
      <c r="A122" s="14" t="s">
        <v>1449</v>
      </c>
      <c r="B122" s="14" t="s">
        <v>181</v>
      </c>
      <c r="C122" s="14" t="s">
        <v>182</v>
      </c>
      <c r="D122" s="14" t="s">
        <v>10</v>
      </c>
      <c r="E122" s="14" t="s">
        <v>177</v>
      </c>
      <c r="F122" s="14" t="s">
        <v>62</v>
      </c>
      <c r="G122" s="14" t="s">
        <v>63</v>
      </c>
      <c r="H122" s="14" t="s">
        <v>1084</v>
      </c>
      <c r="I122" s="14" t="s">
        <v>1256</v>
      </c>
      <c r="J122" s="15" t="n">
        <v>1</v>
      </c>
      <c r="K122" s="14"/>
      <c r="L122" s="14"/>
      <c r="M122" s="14"/>
      <c r="N122" s="14"/>
      <c r="O122" s="14" t="s">
        <v>1259</v>
      </c>
      <c r="P122" s="14"/>
    </row>
    <row r="123" customFormat="false" ht="22.35" hidden="false" customHeight="false" outlineLevel="0" collapsed="false">
      <c r="A123" s="14" t="s">
        <v>1450</v>
      </c>
      <c r="B123" s="14" t="s">
        <v>617</v>
      </c>
      <c r="C123" s="14" t="s">
        <v>618</v>
      </c>
      <c r="D123" s="14" t="s">
        <v>10</v>
      </c>
      <c r="E123" s="14" t="s">
        <v>591</v>
      </c>
      <c r="F123" s="14" t="s">
        <v>62</v>
      </c>
      <c r="G123" s="14" t="s">
        <v>63</v>
      </c>
      <c r="H123" s="14" t="s">
        <v>1084</v>
      </c>
      <c r="I123" s="14" t="s">
        <v>1256</v>
      </c>
      <c r="J123" s="17" t="n">
        <v>2</v>
      </c>
      <c r="K123" s="14"/>
      <c r="L123" s="14"/>
      <c r="M123" s="14"/>
      <c r="N123" s="14"/>
      <c r="O123" s="14" t="s">
        <v>1259</v>
      </c>
      <c r="P123" s="14"/>
    </row>
    <row r="124" customFormat="false" ht="22.35" hidden="false" customHeight="false" outlineLevel="0" collapsed="false">
      <c r="A124" s="14" t="s">
        <v>1451</v>
      </c>
      <c r="B124" s="14" t="s">
        <v>619</v>
      </c>
      <c r="C124" s="14" t="s">
        <v>620</v>
      </c>
      <c r="D124" s="14" t="s">
        <v>10</v>
      </c>
      <c r="E124" s="14" t="s">
        <v>621</v>
      </c>
      <c r="F124" s="14" t="s">
        <v>215</v>
      </c>
      <c r="G124" s="14" t="s">
        <v>77</v>
      </c>
      <c r="H124" s="14" t="s">
        <v>1084</v>
      </c>
      <c r="I124" s="14" t="s">
        <v>1256</v>
      </c>
      <c r="J124" s="17" t="n">
        <v>2</v>
      </c>
      <c r="K124" s="14"/>
      <c r="L124" s="14"/>
      <c r="M124" s="14"/>
      <c r="N124" s="14"/>
      <c r="O124" s="14" t="s">
        <v>1259</v>
      </c>
      <c r="P124" s="14"/>
    </row>
    <row r="125" customFormat="false" ht="22.35" hidden="false" customHeight="false" outlineLevel="0" collapsed="false">
      <c r="A125" s="14" t="s">
        <v>1452</v>
      </c>
      <c r="B125" s="14" t="s">
        <v>622</v>
      </c>
      <c r="C125" s="14" t="s">
        <v>623</v>
      </c>
      <c r="D125" s="14" t="s">
        <v>10</v>
      </c>
      <c r="E125" s="14" t="s">
        <v>624</v>
      </c>
      <c r="F125" s="14" t="s">
        <v>625</v>
      </c>
      <c r="G125" s="14" t="s">
        <v>493</v>
      </c>
      <c r="H125" s="14" t="s">
        <v>1084</v>
      </c>
      <c r="I125" s="14" t="s">
        <v>1256</v>
      </c>
      <c r="J125" s="17" t="n">
        <v>2</v>
      </c>
      <c r="K125" s="14"/>
      <c r="L125" s="14"/>
      <c r="M125" s="14"/>
      <c r="N125" s="14"/>
      <c r="O125" s="14" t="s">
        <v>1259</v>
      </c>
      <c r="P125" s="14"/>
    </row>
    <row r="126" customFormat="false" ht="22.35" hidden="false" customHeight="false" outlineLevel="0" collapsed="false">
      <c r="A126" s="14" t="s">
        <v>1453</v>
      </c>
      <c r="B126" s="14" t="s">
        <v>626</v>
      </c>
      <c r="C126" s="14" t="s">
        <v>627</v>
      </c>
      <c r="D126" s="14" t="s">
        <v>10</v>
      </c>
      <c r="E126" s="14" t="s">
        <v>628</v>
      </c>
      <c r="F126" s="14" t="s">
        <v>629</v>
      </c>
      <c r="G126" s="14" t="s">
        <v>63</v>
      </c>
      <c r="H126" s="14" t="s">
        <v>1084</v>
      </c>
      <c r="I126" s="14" t="s">
        <v>1256</v>
      </c>
      <c r="J126" s="17" t="n">
        <v>2</v>
      </c>
      <c r="K126" s="14"/>
      <c r="L126" s="14"/>
      <c r="M126" s="14"/>
      <c r="N126" s="14"/>
      <c r="O126" s="14" t="s">
        <v>1259</v>
      </c>
      <c r="P126" s="14"/>
    </row>
    <row r="127" customFormat="false" ht="22.35" hidden="false" customHeight="false" outlineLevel="0" collapsed="false">
      <c r="A127" s="14" t="s">
        <v>1454</v>
      </c>
      <c r="B127" s="14" t="s">
        <v>630</v>
      </c>
      <c r="C127" s="14" t="s">
        <v>631</v>
      </c>
      <c r="D127" s="14" t="s">
        <v>10</v>
      </c>
      <c r="E127" s="14" t="s">
        <v>632</v>
      </c>
      <c r="F127" s="14" t="s">
        <v>215</v>
      </c>
      <c r="G127" s="14" t="s">
        <v>77</v>
      </c>
      <c r="H127" s="14" t="s">
        <v>1084</v>
      </c>
      <c r="I127" s="14" t="s">
        <v>1256</v>
      </c>
      <c r="J127" s="17" t="n">
        <v>2</v>
      </c>
      <c r="K127" s="14"/>
      <c r="L127" s="14"/>
      <c r="M127" s="14"/>
      <c r="N127" s="14"/>
      <c r="O127" s="14" t="s">
        <v>1259</v>
      </c>
      <c r="P127" s="14"/>
    </row>
    <row r="128" customFormat="false" ht="22.35" hidden="false" customHeight="false" outlineLevel="0" collapsed="false">
      <c r="A128" s="14" t="s">
        <v>1455</v>
      </c>
      <c r="B128" s="14" t="s">
        <v>633</v>
      </c>
      <c r="C128" s="14" t="s">
        <v>634</v>
      </c>
      <c r="D128" s="14" t="s">
        <v>10</v>
      </c>
      <c r="E128" s="14" t="s">
        <v>635</v>
      </c>
      <c r="F128" s="14" t="s">
        <v>147</v>
      </c>
      <c r="G128" s="14" t="s">
        <v>63</v>
      </c>
      <c r="H128" s="14" t="s">
        <v>1084</v>
      </c>
      <c r="I128" s="14" t="s">
        <v>1256</v>
      </c>
      <c r="J128" s="17" t="n">
        <v>2</v>
      </c>
      <c r="K128" s="14"/>
      <c r="L128" s="14"/>
      <c r="M128" s="14"/>
      <c r="N128" s="14"/>
      <c r="O128" s="14" t="s">
        <v>1259</v>
      </c>
      <c r="P128" s="14"/>
    </row>
    <row r="129" customFormat="false" ht="22.35" hidden="false" customHeight="false" outlineLevel="0" collapsed="false">
      <c r="A129" s="14" t="s">
        <v>1456</v>
      </c>
      <c r="B129" s="14" t="s">
        <v>636</v>
      </c>
      <c r="C129" s="14" t="s">
        <v>637</v>
      </c>
      <c r="D129" s="14" t="s">
        <v>10</v>
      </c>
      <c r="E129" s="14" t="s">
        <v>638</v>
      </c>
      <c r="F129" s="14" t="s">
        <v>215</v>
      </c>
      <c r="G129" s="14" t="s">
        <v>77</v>
      </c>
      <c r="H129" s="14" t="s">
        <v>1084</v>
      </c>
      <c r="I129" s="14" t="s">
        <v>1256</v>
      </c>
      <c r="J129" s="17" t="n">
        <v>2</v>
      </c>
      <c r="K129" s="14"/>
      <c r="L129" s="14"/>
      <c r="M129" s="14"/>
      <c r="N129" s="14"/>
      <c r="O129" s="14" t="s">
        <v>1259</v>
      </c>
      <c r="P129" s="14"/>
    </row>
    <row r="130" customFormat="false" ht="22.35" hidden="false" customHeight="false" outlineLevel="0" collapsed="false">
      <c r="A130" s="14" t="s">
        <v>1457</v>
      </c>
      <c r="B130" s="14" t="s">
        <v>639</v>
      </c>
      <c r="C130" s="14" t="s">
        <v>186</v>
      </c>
      <c r="D130" s="14" t="s">
        <v>10</v>
      </c>
      <c r="E130" s="14" t="s">
        <v>640</v>
      </c>
      <c r="F130" s="14" t="s">
        <v>641</v>
      </c>
      <c r="G130" s="14" t="s">
        <v>642</v>
      </c>
      <c r="H130" s="14" t="s">
        <v>1084</v>
      </c>
      <c r="I130" s="14" t="s">
        <v>1256</v>
      </c>
      <c r="J130" s="17" t="n">
        <v>2</v>
      </c>
      <c r="K130" s="14"/>
      <c r="L130" s="14"/>
      <c r="M130" s="14"/>
      <c r="N130" s="14"/>
      <c r="O130" s="14" t="s">
        <v>1259</v>
      </c>
      <c r="P130" s="14"/>
    </row>
    <row r="131" customFormat="false" ht="22.35" hidden="false" customHeight="false" outlineLevel="0" collapsed="false">
      <c r="A131" s="14" t="s">
        <v>1458</v>
      </c>
      <c r="B131" s="14" t="s">
        <v>643</v>
      </c>
      <c r="C131" s="14" t="s">
        <v>186</v>
      </c>
      <c r="D131" s="14" t="s">
        <v>10</v>
      </c>
      <c r="E131" s="14" t="s">
        <v>177</v>
      </c>
      <c r="F131" s="14" t="s">
        <v>644</v>
      </c>
      <c r="G131" s="14" t="s">
        <v>63</v>
      </c>
      <c r="H131" s="14" t="s">
        <v>1084</v>
      </c>
      <c r="I131" s="14" t="s">
        <v>1256</v>
      </c>
      <c r="J131" s="17" t="n">
        <v>2</v>
      </c>
      <c r="K131" s="14"/>
      <c r="L131" s="14"/>
      <c r="M131" s="14"/>
      <c r="N131" s="14"/>
      <c r="O131" s="14" t="s">
        <v>1259</v>
      </c>
      <c r="P131" s="14"/>
    </row>
    <row r="132" customFormat="false" ht="22.35" hidden="false" customHeight="false" outlineLevel="0" collapsed="false">
      <c r="A132" s="14" t="s">
        <v>1459</v>
      </c>
      <c r="B132" s="14" t="s">
        <v>645</v>
      </c>
      <c r="C132" s="14" t="s">
        <v>186</v>
      </c>
      <c r="D132" s="14" t="s">
        <v>10</v>
      </c>
      <c r="E132" s="14" t="s">
        <v>646</v>
      </c>
      <c r="F132" s="14" t="s">
        <v>215</v>
      </c>
      <c r="G132" s="14" t="s">
        <v>77</v>
      </c>
      <c r="H132" s="14" t="s">
        <v>1084</v>
      </c>
      <c r="I132" s="14" t="s">
        <v>1256</v>
      </c>
      <c r="J132" s="17" t="n">
        <v>2</v>
      </c>
      <c r="K132" s="14"/>
      <c r="L132" s="14"/>
      <c r="M132" s="14"/>
      <c r="N132" s="14"/>
      <c r="O132" s="14" t="s">
        <v>1259</v>
      </c>
      <c r="P132" s="14"/>
    </row>
    <row r="133" customFormat="false" ht="22.35" hidden="false" customHeight="false" outlineLevel="0" collapsed="false">
      <c r="A133" s="14" t="s">
        <v>1460</v>
      </c>
      <c r="B133" s="14" t="s">
        <v>185</v>
      </c>
      <c r="C133" s="14" t="s">
        <v>186</v>
      </c>
      <c r="D133" s="14" t="s">
        <v>10</v>
      </c>
      <c r="E133" s="14" t="s">
        <v>187</v>
      </c>
      <c r="F133" s="14" t="s">
        <v>188</v>
      </c>
      <c r="G133" s="14" t="s">
        <v>63</v>
      </c>
      <c r="H133" s="14" t="s">
        <v>1084</v>
      </c>
      <c r="I133" s="14" t="s">
        <v>1256</v>
      </c>
      <c r="J133" s="15" t="n">
        <v>1</v>
      </c>
      <c r="K133" s="14"/>
      <c r="L133" s="14"/>
      <c r="M133" s="14"/>
      <c r="N133" s="14"/>
      <c r="O133" s="14" t="s">
        <v>1259</v>
      </c>
      <c r="P133" s="14"/>
    </row>
    <row r="134" customFormat="false" ht="22.35" hidden="false" customHeight="false" outlineLevel="0" collapsed="false">
      <c r="A134" s="14" t="s">
        <v>1461</v>
      </c>
      <c r="B134" s="14" t="s">
        <v>647</v>
      </c>
      <c r="C134" s="14" t="s">
        <v>465</v>
      </c>
      <c r="D134" s="14" t="s">
        <v>10</v>
      </c>
      <c r="E134" s="14" t="s">
        <v>648</v>
      </c>
      <c r="F134" s="14" t="s">
        <v>649</v>
      </c>
      <c r="G134" s="14" t="s">
        <v>63</v>
      </c>
      <c r="H134" s="14" t="s">
        <v>1084</v>
      </c>
      <c r="I134" s="14" t="s">
        <v>1256</v>
      </c>
      <c r="J134" s="17" t="n">
        <v>2</v>
      </c>
      <c r="K134" s="14"/>
      <c r="L134" s="14"/>
      <c r="M134" s="14"/>
      <c r="N134" s="14"/>
      <c r="O134" s="14" t="s">
        <v>1259</v>
      </c>
      <c r="P134" s="14" t="s">
        <v>466</v>
      </c>
    </row>
    <row r="135" customFormat="false" ht="22.35" hidden="false" customHeight="false" outlineLevel="0" collapsed="false">
      <c r="A135" s="14" t="s">
        <v>1462</v>
      </c>
      <c r="B135" s="14" t="s">
        <v>650</v>
      </c>
      <c r="C135" s="14" t="s">
        <v>651</v>
      </c>
      <c r="D135" s="14" t="s">
        <v>10</v>
      </c>
      <c r="E135" s="14" t="s">
        <v>600</v>
      </c>
      <c r="F135" s="14" t="s">
        <v>641</v>
      </c>
      <c r="G135" s="14" t="s">
        <v>642</v>
      </c>
      <c r="H135" s="14" t="s">
        <v>1084</v>
      </c>
      <c r="I135" s="14" t="s">
        <v>1256</v>
      </c>
      <c r="J135" s="17" t="n">
        <v>2</v>
      </c>
      <c r="K135" s="14"/>
      <c r="L135" s="14"/>
      <c r="M135" s="14"/>
      <c r="N135" s="14"/>
      <c r="O135" s="14" t="s">
        <v>1259</v>
      </c>
      <c r="P135" s="14"/>
    </row>
    <row r="136" customFormat="false" ht="22.35" hidden="false" customHeight="false" outlineLevel="0" collapsed="false">
      <c r="A136" s="14" t="s">
        <v>1463</v>
      </c>
      <c r="B136" s="14" t="s">
        <v>652</v>
      </c>
      <c r="C136" s="14" t="s">
        <v>653</v>
      </c>
      <c r="D136" s="14" t="s">
        <v>10</v>
      </c>
      <c r="E136" s="14" t="s">
        <v>654</v>
      </c>
      <c r="F136" s="14" t="s">
        <v>135</v>
      </c>
      <c r="G136" s="14" t="s">
        <v>63</v>
      </c>
      <c r="H136" s="14" t="s">
        <v>1084</v>
      </c>
      <c r="I136" s="14" t="s">
        <v>1256</v>
      </c>
      <c r="J136" s="17" t="n">
        <v>2</v>
      </c>
      <c r="K136" s="14"/>
      <c r="L136" s="14"/>
      <c r="M136" s="14"/>
      <c r="N136" s="14"/>
      <c r="O136" s="14" t="s">
        <v>1259</v>
      </c>
      <c r="P136" s="14"/>
    </row>
    <row r="137" customFormat="false" ht="22.35" hidden="false" customHeight="false" outlineLevel="0" collapsed="false">
      <c r="A137" s="14" t="s">
        <v>1464</v>
      </c>
      <c r="B137" s="14" t="s">
        <v>655</v>
      </c>
      <c r="C137" s="14" t="s">
        <v>656</v>
      </c>
      <c r="D137" s="14" t="s">
        <v>10</v>
      </c>
      <c r="E137" s="14" t="s">
        <v>177</v>
      </c>
      <c r="F137" s="14" t="s">
        <v>135</v>
      </c>
      <c r="G137" s="14" t="s">
        <v>63</v>
      </c>
      <c r="H137" s="14" t="s">
        <v>1084</v>
      </c>
      <c r="I137" s="14" t="s">
        <v>1256</v>
      </c>
      <c r="J137" s="17" t="n">
        <v>2</v>
      </c>
      <c r="K137" s="14"/>
      <c r="L137" s="14"/>
      <c r="M137" s="14"/>
      <c r="N137" s="14"/>
      <c r="O137" s="14" t="s">
        <v>1259</v>
      </c>
      <c r="P137" s="14"/>
    </row>
    <row r="138" customFormat="false" ht="22.35" hidden="false" customHeight="false" outlineLevel="0" collapsed="false">
      <c r="A138" s="14" t="s">
        <v>1465</v>
      </c>
      <c r="B138" s="14" t="s">
        <v>657</v>
      </c>
      <c r="C138" s="14" t="s">
        <v>658</v>
      </c>
      <c r="D138" s="14" t="s">
        <v>10</v>
      </c>
      <c r="E138" s="14" t="s">
        <v>638</v>
      </c>
      <c r="F138" s="14" t="s">
        <v>215</v>
      </c>
      <c r="G138" s="14" t="s">
        <v>77</v>
      </c>
      <c r="H138" s="14" t="s">
        <v>1084</v>
      </c>
      <c r="I138" s="14" t="s">
        <v>1256</v>
      </c>
      <c r="J138" s="17" t="n">
        <v>2</v>
      </c>
      <c r="K138" s="14"/>
      <c r="L138" s="14"/>
      <c r="M138" s="14"/>
      <c r="N138" s="14"/>
      <c r="O138" s="14" t="s">
        <v>1259</v>
      </c>
      <c r="P138" s="14"/>
    </row>
    <row r="139" customFormat="false" ht="22.35" hidden="false" customHeight="false" outlineLevel="0" collapsed="false">
      <c r="A139" s="14" t="s">
        <v>1466</v>
      </c>
      <c r="B139" s="14" t="s">
        <v>659</v>
      </c>
      <c r="C139" s="14" t="s">
        <v>660</v>
      </c>
      <c r="D139" s="14" t="s">
        <v>10</v>
      </c>
      <c r="E139" s="14" t="s">
        <v>661</v>
      </c>
      <c r="F139" s="14" t="s">
        <v>662</v>
      </c>
      <c r="G139" s="14" t="s">
        <v>63</v>
      </c>
      <c r="H139" s="14" t="s">
        <v>1084</v>
      </c>
      <c r="I139" s="14" t="s">
        <v>1256</v>
      </c>
      <c r="J139" s="17" t="n">
        <v>2</v>
      </c>
      <c r="K139" s="14"/>
      <c r="L139" s="14"/>
      <c r="M139" s="14"/>
      <c r="N139" s="14"/>
      <c r="O139" s="14" t="s">
        <v>1259</v>
      </c>
      <c r="P139" s="14"/>
    </row>
    <row r="140" customFormat="false" ht="22.35" hidden="false" customHeight="false" outlineLevel="0" collapsed="false">
      <c r="A140" s="14" t="s">
        <v>1467</v>
      </c>
      <c r="B140" s="14" t="s">
        <v>663</v>
      </c>
      <c r="C140" s="14" t="s">
        <v>664</v>
      </c>
      <c r="D140" s="14" t="s">
        <v>10</v>
      </c>
      <c r="E140" s="14" t="s">
        <v>600</v>
      </c>
      <c r="F140" s="14" t="s">
        <v>62</v>
      </c>
      <c r="G140" s="14" t="s">
        <v>63</v>
      </c>
      <c r="H140" s="14" t="s">
        <v>1084</v>
      </c>
      <c r="I140" s="14" t="s">
        <v>1256</v>
      </c>
      <c r="J140" s="17" t="n">
        <v>2</v>
      </c>
      <c r="K140" s="14"/>
      <c r="L140" s="14"/>
      <c r="M140" s="14"/>
      <c r="N140" s="14"/>
      <c r="O140" s="14" t="s">
        <v>1259</v>
      </c>
      <c r="P140" s="14"/>
    </row>
    <row r="141" customFormat="false" ht="22.35" hidden="false" customHeight="false" outlineLevel="0" collapsed="false">
      <c r="A141" s="14" t="s">
        <v>1468</v>
      </c>
      <c r="B141" s="14" t="s">
        <v>665</v>
      </c>
      <c r="C141" s="14" t="s">
        <v>666</v>
      </c>
      <c r="D141" s="14" t="s">
        <v>10</v>
      </c>
      <c r="E141" s="14" t="s">
        <v>667</v>
      </c>
      <c r="F141" s="14" t="s">
        <v>215</v>
      </c>
      <c r="G141" s="14" t="s">
        <v>77</v>
      </c>
      <c r="H141" s="14" t="s">
        <v>1084</v>
      </c>
      <c r="I141" s="14" t="s">
        <v>1256</v>
      </c>
      <c r="J141" s="17" t="n">
        <v>2</v>
      </c>
      <c r="K141" s="14"/>
      <c r="L141" s="14"/>
      <c r="M141" s="14"/>
      <c r="N141" s="14"/>
      <c r="O141" s="14" t="s">
        <v>1259</v>
      </c>
      <c r="P141" s="14"/>
    </row>
    <row r="142" customFormat="false" ht="22.35" hidden="false" customHeight="false" outlineLevel="0" collapsed="false">
      <c r="A142" s="14" t="s">
        <v>1469</v>
      </c>
      <c r="B142" s="14" t="s">
        <v>668</v>
      </c>
      <c r="C142" s="14"/>
      <c r="D142" s="14" t="s">
        <v>10</v>
      </c>
      <c r="E142" s="14" t="s">
        <v>582</v>
      </c>
      <c r="F142" s="14" t="s">
        <v>215</v>
      </c>
      <c r="G142" s="14" t="s">
        <v>77</v>
      </c>
      <c r="H142" s="14" t="s">
        <v>1084</v>
      </c>
      <c r="I142" s="14" t="s">
        <v>1256</v>
      </c>
      <c r="J142" s="17" t="n">
        <v>2</v>
      </c>
      <c r="K142" s="14"/>
      <c r="L142" s="14"/>
      <c r="M142" s="14"/>
      <c r="N142" s="14"/>
      <c r="O142" s="14" t="s">
        <v>1433</v>
      </c>
      <c r="P142" s="14" t="s">
        <v>669</v>
      </c>
    </row>
    <row r="143" customFormat="false" ht="22.35" hidden="false" customHeight="false" outlineLevel="0" collapsed="false">
      <c r="A143" s="14" t="s">
        <v>1470</v>
      </c>
      <c r="B143" s="14" t="s">
        <v>670</v>
      </c>
      <c r="C143" s="14" t="s">
        <v>671</v>
      </c>
      <c r="D143" s="14" t="s">
        <v>10</v>
      </c>
      <c r="E143" s="14" t="s">
        <v>672</v>
      </c>
      <c r="F143" s="14" t="s">
        <v>215</v>
      </c>
      <c r="G143" s="14" t="s">
        <v>77</v>
      </c>
      <c r="H143" s="14" t="s">
        <v>1084</v>
      </c>
      <c r="I143" s="14" t="s">
        <v>1256</v>
      </c>
      <c r="J143" s="17" t="n">
        <v>2</v>
      </c>
      <c r="K143" s="14"/>
      <c r="L143" s="14"/>
      <c r="M143" s="14"/>
      <c r="N143" s="14"/>
      <c r="O143" s="14" t="s">
        <v>1259</v>
      </c>
      <c r="P143" s="14"/>
    </row>
    <row r="144" customFormat="false" ht="22.35" hidden="false" customHeight="false" outlineLevel="0" collapsed="false">
      <c r="A144" s="14" t="s">
        <v>1471</v>
      </c>
      <c r="B144" s="14" t="s">
        <v>673</v>
      </c>
      <c r="C144" s="14"/>
      <c r="D144" s="14" t="s">
        <v>23</v>
      </c>
      <c r="E144" s="14" t="s">
        <v>674</v>
      </c>
      <c r="F144" s="14" t="s">
        <v>306</v>
      </c>
      <c r="G144" s="14" t="s">
        <v>307</v>
      </c>
      <c r="H144" s="14" t="s">
        <v>1084</v>
      </c>
      <c r="I144" s="14" t="s">
        <v>1256</v>
      </c>
      <c r="J144" s="17" t="n">
        <v>2</v>
      </c>
      <c r="K144" s="14"/>
      <c r="L144" s="14"/>
      <c r="M144" s="14"/>
      <c r="N144" s="14"/>
      <c r="O144" s="14" t="s">
        <v>1472</v>
      </c>
      <c r="P144" s="14"/>
    </row>
    <row r="145" customFormat="false" ht="22.35" hidden="false" customHeight="false" outlineLevel="0" collapsed="false">
      <c r="A145" s="14" t="s">
        <v>1473</v>
      </c>
      <c r="B145" s="14" t="s">
        <v>678</v>
      </c>
      <c r="C145" s="14"/>
      <c r="D145" s="14" t="s">
        <v>23</v>
      </c>
      <c r="E145" s="14" t="s">
        <v>679</v>
      </c>
      <c r="F145" s="14" t="s">
        <v>62</v>
      </c>
      <c r="G145" s="14" t="s">
        <v>63</v>
      </c>
      <c r="H145" s="14" t="s">
        <v>1084</v>
      </c>
      <c r="I145" s="14" t="s">
        <v>1256</v>
      </c>
      <c r="J145" s="17" t="n">
        <v>2</v>
      </c>
      <c r="K145" s="14"/>
      <c r="L145" s="14"/>
      <c r="M145" s="14"/>
      <c r="N145" s="14"/>
      <c r="O145" s="14" t="s">
        <v>1259</v>
      </c>
      <c r="P145" s="14"/>
    </row>
    <row r="146" customFormat="false" ht="22.35" hidden="false" customHeight="false" outlineLevel="0" collapsed="false">
      <c r="A146" s="14" t="s">
        <v>1474</v>
      </c>
      <c r="B146" s="14" t="s">
        <v>680</v>
      </c>
      <c r="C146" s="14"/>
      <c r="D146" s="14" t="s">
        <v>23</v>
      </c>
      <c r="E146" s="14" t="s">
        <v>681</v>
      </c>
      <c r="F146" s="14" t="s">
        <v>625</v>
      </c>
      <c r="G146" s="14" t="s">
        <v>493</v>
      </c>
      <c r="H146" s="14" t="s">
        <v>1084</v>
      </c>
      <c r="I146" s="14" t="s">
        <v>1256</v>
      </c>
      <c r="J146" s="17" t="n">
        <v>2</v>
      </c>
      <c r="K146" s="14"/>
      <c r="L146" s="14"/>
      <c r="M146" s="14"/>
      <c r="N146" s="14"/>
      <c r="O146" s="14" t="s">
        <v>1472</v>
      </c>
      <c r="P146" s="14"/>
    </row>
    <row r="147" customFormat="false" ht="22.35" hidden="false" customHeight="false" outlineLevel="0" collapsed="false">
      <c r="A147" s="14" t="s">
        <v>1475</v>
      </c>
      <c r="B147" s="14" t="s">
        <v>192</v>
      </c>
      <c r="C147" s="14" t="s">
        <v>193</v>
      </c>
      <c r="D147" s="14" t="s">
        <v>23</v>
      </c>
      <c r="E147" s="14" t="s">
        <v>194</v>
      </c>
      <c r="F147" s="14" t="s">
        <v>195</v>
      </c>
      <c r="G147" s="14" t="s">
        <v>63</v>
      </c>
      <c r="H147" s="14" t="s">
        <v>1084</v>
      </c>
      <c r="I147" s="14" t="s">
        <v>1256</v>
      </c>
      <c r="J147" s="15" t="n">
        <v>1</v>
      </c>
      <c r="K147" s="14"/>
      <c r="L147" s="14"/>
      <c r="M147" s="14"/>
      <c r="N147" s="14"/>
      <c r="O147" s="14" t="s">
        <v>1259</v>
      </c>
      <c r="P147" s="14"/>
    </row>
    <row r="148" customFormat="false" ht="22.35" hidden="false" customHeight="false" outlineLevel="0" collapsed="false">
      <c r="A148" s="14" t="s">
        <v>1476</v>
      </c>
      <c r="B148" s="14" t="s">
        <v>682</v>
      </c>
      <c r="C148" s="14" t="s">
        <v>193</v>
      </c>
      <c r="D148" s="14" t="s">
        <v>23</v>
      </c>
      <c r="E148" s="14" t="s">
        <v>674</v>
      </c>
      <c r="F148" s="14" t="s">
        <v>188</v>
      </c>
      <c r="G148" s="14" t="s">
        <v>63</v>
      </c>
      <c r="H148" s="14" t="s">
        <v>1084</v>
      </c>
      <c r="I148" s="14" t="s">
        <v>1256</v>
      </c>
      <c r="J148" s="17" t="n">
        <v>2</v>
      </c>
      <c r="K148" s="14"/>
      <c r="L148" s="14"/>
      <c r="M148" s="14"/>
      <c r="N148" s="14"/>
      <c r="O148" s="14" t="s">
        <v>1472</v>
      </c>
      <c r="P148" s="14" t="s">
        <v>683</v>
      </c>
    </row>
    <row r="149" customFormat="false" ht="22.35" hidden="false" customHeight="false" outlineLevel="0" collapsed="false">
      <c r="A149" s="14" t="s">
        <v>1477</v>
      </c>
      <c r="B149" s="14" t="s">
        <v>199</v>
      </c>
      <c r="C149" s="14"/>
      <c r="D149" s="14" t="s">
        <v>23</v>
      </c>
      <c r="E149" s="14" t="s">
        <v>200</v>
      </c>
      <c r="F149" s="14" t="s">
        <v>201</v>
      </c>
      <c r="G149" s="14" t="s">
        <v>63</v>
      </c>
      <c r="H149" s="14" t="s">
        <v>1084</v>
      </c>
      <c r="I149" s="14" t="s">
        <v>1256</v>
      </c>
      <c r="J149" s="15" t="n">
        <v>1</v>
      </c>
      <c r="K149" s="14"/>
      <c r="L149" s="14"/>
      <c r="M149" s="14"/>
      <c r="N149" s="14"/>
      <c r="O149" s="14" t="s">
        <v>1478</v>
      </c>
      <c r="P149" s="14"/>
    </row>
    <row r="150" customFormat="false" ht="22.35" hidden="false" customHeight="false" outlineLevel="0" collapsed="false">
      <c r="A150" s="14" t="s">
        <v>1479</v>
      </c>
      <c r="B150" s="14" t="s">
        <v>684</v>
      </c>
      <c r="C150" s="14"/>
      <c r="D150" s="14" t="s">
        <v>23</v>
      </c>
      <c r="E150" s="14" t="s">
        <v>681</v>
      </c>
      <c r="F150" s="14" t="s">
        <v>215</v>
      </c>
      <c r="G150" s="14" t="s">
        <v>77</v>
      </c>
      <c r="H150" s="14" t="s">
        <v>1084</v>
      </c>
      <c r="I150" s="14" t="s">
        <v>1256</v>
      </c>
      <c r="J150" s="17" t="n">
        <v>2</v>
      </c>
      <c r="K150" s="14"/>
      <c r="L150" s="14"/>
      <c r="M150" s="14"/>
      <c r="N150" s="14"/>
      <c r="O150" s="14" t="s">
        <v>1472</v>
      </c>
      <c r="P150" s="14"/>
    </row>
    <row r="151" customFormat="false" ht="22.35" hidden="false" customHeight="false" outlineLevel="0" collapsed="false">
      <c r="A151" s="14" t="s">
        <v>1480</v>
      </c>
      <c r="B151" s="14" t="s">
        <v>685</v>
      </c>
      <c r="C151" s="14" t="s">
        <v>474</v>
      </c>
      <c r="D151" s="14" t="s">
        <v>23</v>
      </c>
      <c r="E151" s="14" t="s">
        <v>686</v>
      </c>
      <c r="F151" s="14" t="s">
        <v>687</v>
      </c>
      <c r="G151" s="14" t="s">
        <v>63</v>
      </c>
      <c r="H151" s="14" t="s">
        <v>1084</v>
      </c>
      <c r="I151" s="14" t="s">
        <v>1256</v>
      </c>
      <c r="J151" s="17" t="n">
        <v>2</v>
      </c>
      <c r="K151" s="14"/>
      <c r="L151" s="14"/>
      <c r="M151" s="14"/>
      <c r="N151" s="14"/>
      <c r="O151" s="14" t="s">
        <v>1259</v>
      </c>
      <c r="P151" s="14"/>
    </row>
    <row r="152" customFormat="false" ht="22.35" hidden="false" customHeight="false" outlineLevel="0" collapsed="false">
      <c r="A152" s="14" t="s">
        <v>1481</v>
      </c>
      <c r="B152" s="14" t="s">
        <v>688</v>
      </c>
      <c r="C152" s="14" t="s">
        <v>689</v>
      </c>
      <c r="D152" s="14" t="s">
        <v>23</v>
      </c>
      <c r="E152" s="14" t="s">
        <v>686</v>
      </c>
      <c r="F152" s="14" t="s">
        <v>215</v>
      </c>
      <c r="G152" s="14" t="s">
        <v>77</v>
      </c>
      <c r="H152" s="14" t="s">
        <v>1084</v>
      </c>
      <c r="I152" s="14" t="s">
        <v>1256</v>
      </c>
      <c r="J152" s="17" t="n">
        <v>2</v>
      </c>
      <c r="K152" s="14"/>
      <c r="L152" s="14"/>
      <c r="M152" s="14"/>
      <c r="N152" s="14"/>
      <c r="O152" s="14" t="s">
        <v>1259</v>
      </c>
      <c r="P152" s="14"/>
    </row>
    <row r="153" customFormat="false" ht="22.35" hidden="false" customHeight="false" outlineLevel="0" collapsed="false">
      <c r="A153" s="14" t="s">
        <v>1482</v>
      </c>
      <c r="B153" s="14" t="s">
        <v>690</v>
      </c>
      <c r="C153" s="14" t="s">
        <v>691</v>
      </c>
      <c r="D153" s="14" t="s">
        <v>23</v>
      </c>
      <c r="E153" s="14" t="s">
        <v>692</v>
      </c>
      <c r="F153" s="14" t="s">
        <v>188</v>
      </c>
      <c r="G153" s="14" t="s">
        <v>63</v>
      </c>
      <c r="H153" s="14" t="s">
        <v>1084</v>
      </c>
      <c r="I153" s="14" t="s">
        <v>1256</v>
      </c>
      <c r="J153" s="17" t="n">
        <v>2</v>
      </c>
      <c r="K153" s="14"/>
      <c r="L153" s="14"/>
      <c r="M153" s="14"/>
      <c r="N153" s="14"/>
      <c r="O153" s="14" t="s">
        <v>1259</v>
      </c>
      <c r="P153" s="14"/>
    </row>
    <row r="154" customFormat="false" ht="22.35" hidden="false" customHeight="false" outlineLevel="0" collapsed="false">
      <c r="A154" s="14" t="s">
        <v>1483</v>
      </c>
      <c r="B154" s="14" t="s">
        <v>693</v>
      </c>
      <c r="C154" s="14" t="s">
        <v>694</v>
      </c>
      <c r="D154" s="14" t="s">
        <v>31</v>
      </c>
      <c r="E154" s="14" t="s">
        <v>695</v>
      </c>
      <c r="F154" s="14" t="s">
        <v>696</v>
      </c>
      <c r="G154" s="14" t="s">
        <v>63</v>
      </c>
      <c r="H154" s="14" t="s">
        <v>1084</v>
      </c>
      <c r="I154" s="14" t="s">
        <v>1256</v>
      </c>
      <c r="J154" s="17" t="n">
        <v>2</v>
      </c>
      <c r="K154" s="14"/>
      <c r="L154" s="14"/>
      <c r="M154" s="14"/>
      <c r="N154" s="14"/>
      <c r="O154" s="14" t="s">
        <v>1259</v>
      </c>
      <c r="P154" s="14"/>
    </row>
    <row r="155" customFormat="false" ht="22.35" hidden="false" customHeight="false" outlineLevel="0" collapsed="false">
      <c r="A155" s="14" t="s">
        <v>1484</v>
      </c>
      <c r="B155" s="14" t="s">
        <v>698</v>
      </c>
      <c r="C155" s="14"/>
      <c r="D155" s="14" t="s">
        <v>31</v>
      </c>
      <c r="E155" s="14" t="s">
        <v>206</v>
      </c>
      <c r="F155" s="14" t="s">
        <v>62</v>
      </c>
      <c r="G155" s="14" t="s">
        <v>63</v>
      </c>
      <c r="H155" s="14" t="s">
        <v>1084</v>
      </c>
      <c r="I155" s="14" t="s">
        <v>1256</v>
      </c>
      <c r="J155" s="17" t="n">
        <v>2</v>
      </c>
      <c r="K155" s="14"/>
      <c r="L155" s="14"/>
      <c r="M155" s="14"/>
      <c r="N155" s="14"/>
      <c r="O155" s="14" t="s">
        <v>1259</v>
      </c>
      <c r="P155" s="14"/>
    </row>
    <row r="156" customFormat="false" ht="22.35" hidden="false" customHeight="false" outlineLevel="0" collapsed="false">
      <c r="A156" s="14" t="s">
        <v>1485</v>
      </c>
      <c r="B156" s="14" t="s">
        <v>699</v>
      </c>
      <c r="C156" s="14"/>
      <c r="D156" s="14" t="s">
        <v>31</v>
      </c>
      <c r="E156" s="14" t="s">
        <v>700</v>
      </c>
      <c r="F156" s="14" t="s">
        <v>215</v>
      </c>
      <c r="G156" s="14" t="s">
        <v>77</v>
      </c>
      <c r="H156" s="14" t="s">
        <v>1084</v>
      </c>
      <c r="I156" s="14" t="s">
        <v>1256</v>
      </c>
      <c r="J156" s="17" t="n">
        <v>2</v>
      </c>
      <c r="K156" s="14"/>
      <c r="L156" s="14"/>
      <c r="M156" s="14"/>
      <c r="N156" s="14"/>
      <c r="O156" s="14" t="s">
        <v>1486</v>
      </c>
      <c r="P156" s="14" t="s">
        <v>702</v>
      </c>
    </row>
    <row r="157" customFormat="false" ht="15" hidden="false" customHeight="false" outlineLevel="0" collapsed="false">
      <c r="A157" s="14" t="s">
        <v>1487</v>
      </c>
      <c r="B157" s="14" t="s">
        <v>205</v>
      </c>
      <c r="C157" s="14"/>
      <c r="D157" s="14" t="s">
        <v>31</v>
      </c>
      <c r="E157" s="14" t="s">
        <v>206</v>
      </c>
      <c r="F157" s="14" t="s">
        <v>160</v>
      </c>
      <c r="G157" s="14" t="s">
        <v>63</v>
      </c>
      <c r="H157" s="14" t="s">
        <v>1084</v>
      </c>
      <c r="I157" s="14" t="s">
        <v>1256</v>
      </c>
      <c r="J157" s="15" t="n">
        <v>1</v>
      </c>
      <c r="K157" s="14"/>
      <c r="L157" s="14"/>
      <c r="M157" s="14"/>
      <c r="N157" s="14"/>
      <c r="O157" s="14" t="s">
        <v>1488</v>
      </c>
      <c r="P157" s="14"/>
    </row>
    <row r="158" customFormat="false" ht="22.35" hidden="false" customHeight="false" outlineLevel="0" collapsed="false">
      <c r="A158" s="14" t="s">
        <v>1489</v>
      </c>
      <c r="B158" s="14" t="s">
        <v>704</v>
      </c>
      <c r="C158" s="14" t="s">
        <v>705</v>
      </c>
      <c r="D158" s="14" t="s">
        <v>31</v>
      </c>
      <c r="E158" s="14" t="s">
        <v>214</v>
      </c>
      <c r="F158" s="14" t="s">
        <v>160</v>
      </c>
      <c r="G158" s="14" t="s">
        <v>63</v>
      </c>
      <c r="H158" s="14" t="s">
        <v>1084</v>
      </c>
      <c r="I158" s="14" t="s">
        <v>1256</v>
      </c>
      <c r="J158" s="17" t="n">
        <v>2</v>
      </c>
      <c r="K158" s="14"/>
      <c r="L158" s="14"/>
      <c r="M158" s="14"/>
      <c r="N158" s="14"/>
      <c r="O158" s="14" t="s">
        <v>1259</v>
      </c>
      <c r="P158" s="14" t="s">
        <v>220</v>
      </c>
    </row>
    <row r="159" customFormat="false" ht="22.35" hidden="false" customHeight="false" outlineLevel="0" collapsed="false">
      <c r="A159" s="14" t="s">
        <v>1490</v>
      </c>
      <c r="B159" s="14" t="s">
        <v>212</v>
      </c>
      <c r="C159" s="14" t="s">
        <v>213</v>
      </c>
      <c r="D159" s="14" t="s">
        <v>31</v>
      </c>
      <c r="E159" s="14" t="s">
        <v>214</v>
      </c>
      <c r="F159" s="14" t="s">
        <v>215</v>
      </c>
      <c r="G159" s="14" t="s">
        <v>77</v>
      </c>
      <c r="H159" s="14" t="s">
        <v>1084</v>
      </c>
      <c r="I159" s="14" t="s">
        <v>1256</v>
      </c>
      <c r="J159" s="15" t="n">
        <v>1</v>
      </c>
      <c r="K159" s="14"/>
      <c r="L159" s="14"/>
      <c r="M159" s="14"/>
      <c r="N159" s="14"/>
      <c r="O159" s="14" t="s">
        <v>1259</v>
      </c>
      <c r="P159" s="14" t="s">
        <v>220</v>
      </c>
    </row>
    <row r="160" customFormat="false" ht="22.35" hidden="false" customHeight="false" outlineLevel="0" collapsed="false">
      <c r="A160" s="14" t="s">
        <v>1491</v>
      </c>
      <c r="B160" s="14" t="s">
        <v>706</v>
      </c>
      <c r="C160" s="14" t="s">
        <v>707</v>
      </c>
      <c r="D160" s="14" t="s">
        <v>31</v>
      </c>
      <c r="E160" s="14" t="s">
        <v>695</v>
      </c>
      <c r="F160" s="14" t="s">
        <v>708</v>
      </c>
      <c r="G160" s="14" t="s">
        <v>63</v>
      </c>
      <c r="H160" s="14" t="s">
        <v>1084</v>
      </c>
      <c r="I160" s="14" t="s">
        <v>1256</v>
      </c>
      <c r="J160" s="17" t="n">
        <v>2</v>
      </c>
      <c r="K160" s="14"/>
      <c r="L160" s="14"/>
      <c r="M160" s="14"/>
      <c r="N160" s="14"/>
      <c r="O160" s="14" t="s">
        <v>1259</v>
      </c>
      <c r="P160" s="14" t="s">
        <v>709</v>
      </c>
    </row>
    <row r="161" customFormat="false" ht="22.35" hidden="false" customHeight="false" outlineLevel="0" collapsed="false">
      <c r="A161" s="14" t="s">
        <v>1492</v>
      </c>
      <c r="B161" s="14" t="s">
        <v>710</v>
      </c>
      <c r="C161" s="14" t="s">
        <v>711</v>
      </c>
      <c r="D161" s="14" t="s">
        <v>35</v>
      </c>
      <c r="E161" s="14" t="s">
        <v>712</v>
      </c>
      <c r="F161" s="14" t="s">
        <v>713</v>
      </c>
      <c r="G161" s="14" t="s">
        <v>307</v>
      </c>
      <c r="H161" s="14" t="s">
        <v>1084</v>
      </c>
      <c r="I161" s="14" t="s">
        <v>1256</v>
      </c>
      <c r="J161" s="17" t="n">
        <v>2</v>
      </c>
      <c r="K161" s="14"/>
      <c r="L161" s="14"/>
      <c r="M161" s="14"/>
      <c r="N161" s="14"/>
      <c r="O161" s="14" t="s">
        <v>1259</v>
      </c>
      <c r="P161" s="14"/>
    </row>
    <row r="162" customFormat="false" ht="22.35" hidden="false" customHeight="false" outlineLevel="0" collapsed="false">
      <c r="A162" s="14" t="s">
        <v>1493</v>
      </c>
      <c r="B162" s="14" t="s">
        <v>717</v>
      </c>
      <c r="C162" s="14" t="s">
        <v>718</v>
      </c>
      <c r="D162" s="14" t="s">
        <v>35</v>
      </c>
      <c r="E162" s="14" t="s">
        <v>719</v>
      </c>
      <c r="F162" s="14" t="s">
        <v>720</v>
      </c>
      <c r="G162" s="14" t="s">
        <v>307</v>
      </c>
      <c r="H162" s="14" t="s">
        <v>1084</v>
      </c>
      <c r="I162" s="14" t="s">
        <v>1256</v>
      </c>
      <c r="J162" s="17" t="n">
        <v>2</v>
      </c>
      <c r="K162" s="14"/>
      <c r="L162" s="14"/>
      <c r="M162" s="14"/>
      <c r="N162" s="14"/>
      <c r="O162" s="14" t="s">
        <v>1259</v>
      </c>
      <c r="P162" s="14" t="s">
        <v>721</v>
      </c>
    </row>
    <row r="163" customFormat="false" ht="22.35" hidden="false" customHeight="false" outlineLevel="0" collapsed="false">
      <c r="A163" s="14" t="s">
        <v>1494</v>
      </c>
      <c r="B163" s="14" t="s">
        <v>722</v>
      </c>
      <c r="C163" s="14" t="s">
        <v>711</v>
      </c>
      <c r="D163" s="14" t="s">
        <v>35</v>
      </c>
      <c r="E163" s="14" t="s">
        <v>723</v>
      </c>
      <c r="F163" s="14" t="s">
        <v>720</v>
      </c>
      <c r="G163" s="14" t="s">
        <v>307</v>
      </c>
      <c r="H163" s="14" t="s">
        <v>1084</v>
      </c>
      <c r="I163" s="14" t="s">
        <v>1256</v>
      </c>
      <c r="J163" s="17" t="n">
        <v>2</v>
      </c>
      <c r="K163" s="14"/>
      <c r="L163" s="14"/>
      <c r="M163" s="14"/>
      <c r="N163" s="14"/>
      <c r="O163" s="14" t="s">
        <v>1259</v>
      </c>
      <c r="P163" s="14"/>
    </row>
    <row r="164" customFormat="false" ht="22.35" hidden="false" customHeight="false" outlineLevel="0" collapsed="false">
      <c r="A164" s="14" t="s">
        <v>1495</v>
      </c>
      <c r="B164" s="14" t="s">
        <v>724</v>
      </c>
      <c r="C164" s="14" t="s">
        <v>725</v>
      </c>
      <c r="D164" s="14" t="s">
        <v>35</v>
      </c>
      <c r="E164" s="14" t="s">
        <v>726</v>
      </c>
      <c r="F164" s="14" t="s">
        <v>727</v>
      </c>
      <c r="G164" s="14" t="s">
        <v>77</v>
      </c>
      <c r="H164" s="14" t="s">
        <v>1084</v>
      </c>
      <c r="I164" s="14" t="s">
        <v>1256</v>
      </c>
      <c r="J164" s="17" t="n">
        <v>2</v>
      </c>
      <c r="K164" s="14"/>
      <c r="L164" s="14"/>
      <c r="M164" s="14"/>
      <c r="N164" s="14"/>
      <c r="O164" s="14" t="s">
        <v>1259</v>
      </c>
      <c r="P164" s="14" t="s">
        <v>728</v>
      </c>
    </row>
    <row r="165" customFormat="false" ht="15" hidden="false" customHeight="false" outlineLevel="0" collapsed="false">
      <c r="A165" s="14" t="s">
        <v>1496</v>
      </c>
      <c r="B165" s="14" t="s">
        <v>1497</v>
      </c>
      <c r="C165" s="14"/>
      <c r="D165" s="14" t="s">
        <v>27</v>
      </c>
      <c r="E165" s="14" t="s">
        <v>1396</v>
      </c>
      <c r="F165" s="14"/>
      <c r="G165" s="14"/>
      <c r="H165" s="14" t="s">
        <v>1278</v>
      </c>
      <c r="I165" s="14" t="s">
        <v>1256</v>
      </c>
      <c r="J165" s="14"/>
      <c r="K165" s="14"/>
      <c r="L165" s="14"/>
      <c r="M165" s="14"/>
      <c r="N165" s="14"/>
      <c r="O165" s="14" t="s">
        <v>1279</v>
      </c>
      <c r="P165" s="14"/>
    </row>
    <row r="166" customFormat="false" ht="15" hidden="false" customHeight="false" outlineLevel="0" collapsed="false">
      <c r="A166" s="14" t="s">
        <v>1498</v>
      </c>
      <c r="B166" s="14" t="s">
        <v>1499</v>
      </c>
      <c r="C166" s="14"/>
      <c r="D166" s="14" t="s">
        <v>27</v>
      </c>
      <c r="E166" s="14" t="s">
        <v>1396</v>
      </c>
      <c r="F166" s="14"/>
      <c r="G166" s="14"/>
      <c r="H166" s="14" t="s">
        <v>1278</v>
      </c>
      <c r="I166" s="14" t="s">
        <v>1291</v>
      </c>
      <c r="J166" s="14"/>
      <c r="K166" s="14" t="s">
        <v>1500</v>
      </c>
      <c r="L166" s="14"/>
      <c r="M166" s="14" t="s">
        <v>1501</v>
      </c>
      <c r="N166" s="14"/>
      <c r="O166" s="14" t="s">
        <v>1279</v>
      </c>
      <c r="P166" s="14"/>
    </row>
    <row r="167" customFormat="false" ht="15" hidden="false" customHeight="false" outlineLevel="0" collapsed="false">
      <c r="A167" s="14" t="s">
        <v>1502</v>
      </c>
      <c r="B167" s="14" t="s">
        <v>1503</v>
      </c>
      <c r="C167" s="14"/>
      <c r="D167" s="14" t="s">
        <v>27</v>
      </c>
      <c r="E167" s="14" t="s">
        <v>1396</v>
      </c>
      <c r="F167" s="14"/>
      <c r="G167" s="14"/>
      <c r="H167" s="14" t="s">
        <v>1278</v>
      </c>
      <c r="I167" s="14" t="s">
        <v>1256</v>
      </c>
      <c r="J167" s="14"/>
      <c r="K167" s="14"/>
      <c r="L167" s="14"/>
      <c r="M167" s="14"/>
      <c r="N167" s="14"/>
      <c r="O167" s="14" t="s">
        <v>1279</v>
      </c>
      <c r="P167" s="14"/>
    </row>
    <row r="168" customFormat="false" ht="15" hidden="false" customHeight="false" outlineLevel="0" collapsed="false">
      <c r="A168" s="14" t="s">
        <v>1504</v>
      </c>
      <c r="B168" s="14" t="s">
        <v>1505</v>
      </c>
      <c r="C168" s="14" t="s">
        <v>222</v>
      </c>
      <c r="D168" s="14" t="s">
        <v>27</v>
      </c>
      <c r="E168" s="14" t="s">
        <v>223</v>
      </c>
      <c r="F168" s="14" t="s">
        <v>215</v>
      </c>
      <c r="G168" s="14" t="s">
        <v>77</v>
      </c>
      <c r="H168" s="14" t="s">
        <v>1278</v>
      </c>
      <c r="I168" s="14" t="s">
        <v>1291</v>
      </c>
      <c r="J168" s="14"/>
      <c r="K168" s="14"/>
      <c r="L168" s="14"/>
      <c r="M168" s="14"/>
      <c r="N168" s="14"/>
      <c r="O168" s="14" t="s">
        <v>1279</v>
      </c>
      <c r="P168" s="14"/>
    </row>
    <row r="169" customFormat="false" ht="15" hidden="false" customHeight="false" outlineLevel="0" collapsed="false">
      <c r="A169" s="14" t="s">
        <v>1506</v>
      </c>
      <c r="B169" s="14" t="s">
        <v>1507</v>
      </c>
      <c r="C169" s="14" t="s">
        <v>1508</v>
      </c>
      <c r="D169" s="14" t="s">
        <v>27</v>
      </c>
      <c r="E169" s="14" t="s">
        <v>1396</v>
      </c>
      <c r="F169" s="14" t="s">
        <v>215</v>
      </c>
      <c r="G169" s="14" t="s">
        <v>77</v>
      </c>
      <c r="H169" s="14" t="s">
        <v>1278</v>
      </c>
      <c r="I169" s="14" t="s">
        <v>1256</v>
      </c>
      <c r="J169" s="14"/>
      <c r="K169" s="14"/>
      <c r="L169" s="14"/>
      <c r="M169" s="14"/>
      <c r="N169" s="14"/>
      <c r="O169" s="14" t="s">
        <v>1279</v>
      </c>
      <c r="P169" s="14"/>
    </row>
    <row r="170" customFormat="false" ht="22.35" hidden="false" customHeight="false" outlineLevel="0" collapsed="false">
      <c r="A170" s="14" t="s">
        <v>1509</v>
      </c>
      <c r="B170" s="14" t="s">
        <v>1510</v>
      </c>
      <c r="C170" s="14" t="s">
        <v>145</v>
      </c>
      <c r="D170" s="14" t="s">
        <v>27</v>
      </c>
      <c r="E170" s="14" t="s">
        <v>1396</v>
      </c>
      <c r="F170" s="14" t="s">
        <v>1511</v>
      </c>
      <c r="G170" s="14" t="s">
        <v>77</v>
      </c>
      <c r="H170" s="14" t="s">
        <v>1278</v>
      </c>
      <c r="I170" s="14" t="s">
        <v>1256</v>
      </c>
      <c r="J170" s="14"/>
      <c r="K170" s="14"/>
      <c r="L170" s="14"/>
      <c r="M170" s="14"/>
      <c r="N170" s="14"/>
      <c r="O170" s="14" t="s">
        <v>1279</v>
      </c>
      <c r="P170" s="14"/>
    </row>
    <row r="171" customFormat="false" ht="22.35" hidden="false" customHeight="false" outlineLevel="0" collapsed="false">
      <c r="A171" s="14" t="s">
        <v>1512</v>
      </c>
      <c r="B171" s="14" t="s">
        <v>1513</v>
      </c>
      <c r="C171" s="14" t="s">
        <v>1209</v>
      </c>
      <c r="D171" s="14" t="s">
        <v>27</v>
      </c>
      <c r="E171" s="14" t="s">
        <v>1396</v>
      </c>
      <c r="F171" s="14" t="s">
        <v>1514</v>
      </c>
      <c r="G171" s="14" t="s">
        <v>63</v>
      </c>
      <c r="H171" s="14" t="s">
        <v>1278</v>
      </c>
      <c r="I171" s="14" t="s">
        <v>1107</v>
      </c>
      <c r="J171" s="14"/>
      <c r="K171" s="14"/>
      <c r="L171" s="14"/>
      <c r="M171" s="14"/>
      <c r="N171" s="14"/>
      <c r="O171" s="14" t="s">
        <v>1279</v>
      </c>
      <c r="P171" s="14"/>
    </row>
    <row r="172" customFormat="false" ht="15" hidden="false" customHeight="false" outlineLevel="0" collapsed="false">
      <c r="A172" s="14" t="s">
        <v>1515</v>
      </c>
      <c r="B172" s="14" t="s">
        <v>1516</v>
      </c>
      <c r="C172" s="14"/>
      <c r="D172" s="14" t="s">
        <v>27</v>
      </c>
      <c r="E172" s="14" t="s">
        <v>1396</v>
      </c>
      <c r="F172" s="14"/>
      <c r="G172" s="14"/>
      <c r="H172" s="14" t="s">
        <v>1278</v>
      </c>
      <c r="I172" s="14" t="s">
        <v>1256</v>
      </c>
      <c r="J172" s="14"/>
      <c r="K172" s="14"/>
      <c r="L172" s="14"/>
      <c r="M172" s="14"/>
      <c r="N172" s="14"/>
      <c r="O172" s="14" t="s">
        <v>1279</v>
      </c>
      <c r="P172" s="14"/>
    </row>
    <row r="173" customFormat="false" ht="15" hidden="false" customHeight="false" outlineLevel="0" collapsed="false">
      <c r="A173" s="14" t="s">
        <v>1517</v>
      </c>
      <c r="B173" s="14" t="s">
        <v>1518</v>
      </c>
      <c r="C173" s="14"/>
      <c r="D173" s="14" t="s">
        <v>27</v>
      </c>
      <c r="E173" s="14" t="s">
        <v>735</v>
      </c>
      <c r="F173" s="14"/>
      <c r="G173" s="14"/>
      <c r="H173" s="14" t="s">
        <v>1278</v>
      </c>
      <c r="I173" s="14" t="s">
        <v>1291</v>
      </c>
      <c r="J173" s="14"/>
      <c r="K173" s="14" t="s">
        <v>1519</v>
      </c>
      <c r="L173" s="14"/>
      <c r="M173" s="14" t="s">
        <v>1520</v>
      </c>
      <c r="N173" s="14"/>
      <c r="O173" s="14" t="s">
        <v>1279</v>
      </c>
      <c r="P173" s="14"/>
    </row>
    <row r="174" customFormat="false" ht="15" hidden="false" customHeight="false" outlineLevel="0" collapsed="false">
      <c r="A174" s="14" t="s">
        <v>1521</v>
      </c>
      <c r="B174" s="14" t="s">
        <v>1522</v>
      </c>
      <c r="C174" s="14" t="s">
        <v>1523</v>
      </c>
      <c r="D174" s="14" t="s">
        <v>27</v>
      </c>
      <c r="E174" s="14" t="s">
        <v>1396</v>
      </c>
      <c r="F174" s="14" t="s">
        <v>215</v>
      </c>
      <c r="G174" s="14" t="s">
        <v>77</v>
      </c>
      <c r="H174" s="14" t="s">
        <v>1278</v>
      </c>
      <c r="I174" s="14" t="s">
        <v>1256</v>
      </c>
      <c r="J174" s="14"/>
      <c r="K174" s="14"/>
      <c r="L174" s="14"/>
      <c r="M174" s="14"/>
      <c r="N174" s="14"/>
      <c r="O174" s="14" t="s">
        <v>1279</v>
      </c>
      <c r="P174" s="14"/>
    </row>
    <row r="175" customFormat="false" ht="22.35" hidden="false" customHeight="false" outlineLevel="0" collapsed="false">
      <c r="A175" s="14" t="s">
        <v>1524</v>
      </c>
      <c r="B175" s="14" t="s">
        <v>729</v>
      </c>
      <c r="C175" s="14" t="s">
        <v>222</v>
      </c>
      <c r="D175" s="14" t="s">
        <v>27</v>
      </c>
      <c r="E175" s="14" t="s">
        <v>730</v>
      </c>
      <c r="F175" s="14" t="s">
        <v>147</v>
      </c>
      <c r="G175" s="14" t="s">
        <v>63</v>
      </c>
      <c r="H175" s="14" t="s">
        <v>1084</v>
      </c>
      <c r="I175" s="14" t="s">
        <v>1256</v>
      </c>
      <c r="J175" s="17" t="n">
        <v>2</v>
      </c>
      <c r="K175" s="14"/>
      <c r="L175" s="14"/>
      <c r="M175" s="14"/>
      <c r="N175" s="14"/>
      <c r="O175" s="14" t="s">
        <v>1259</v>
      </c>
      <c r="P175" s="14"/>
    </row>
    <row r="176" customFormat="false" ht="22.35" hidden="false" customHeight="false" outlineLevel="0" collapsed="false">
      <c r="A176" s="14" t="s">
        <v>1525</v>
      </c>
      <c r="B176" s="14" t="s">
        <v>221</v>
      </c>
      <c r="C176" s="14" t="s">
        <v>222</v>
      </c>
      <c r="D176" s="14" t="s">
        <v>27</v>
      </c>
      <c r="E176" s="14" t="s">
        <v>223</v>
      </c>
      <c r="F176" s="14" t="s">
        <v>147</v>
      </c>
      <c r="G176" s="14" t="s">
        <v>63</v>
      </c>
      <c r="H176" s="14" t="s">
        <v>1084</v>
      </c>
      <c r="I176" s="14" t="s">
        <v>1256</v>
      </c>
      <c r="J176" s="15" t="n">
        <v>1</v>
      </c>
      <c r="K176" s="14"/>
      <c r="L176" s="14"/>
      <c r="M176" s="14"/>
      <c r="N176" s="14"/>
      <c r="O176" s="14" t="s">
        <v>1259</v>
      </c>
      <c r="P176" s="14"/>
    </row>
    <row r="177" customFormat="false" ht="22.35" hidden="false" customHeight="false" outlineLevel="0" collapsed="false">
      <c r="A177" s="14" t="s">
        <v>1526</v>
      </c>
      <c r="B177" s="14" t="s">
        <v>734</v>
      </c>
      <c r="C177" s="14" t="s">
        <v>104</v>
      </c>
      <c r="D177" s="14" t="s">
        <v>27</v>
      </c>
      <c r="E177" s="14" t="s">
        <v>735</v>
      </c>
      <c r="F177" s="14" t="s">
        <v>736</v>
      </c>
      <c r="G177" s="14" t="s">
        <v>77</v>
      </c>
      <c r="H177" s="14" t="s">
        <v>1084</v>
      </c>
      <c r="I177" s="14" t="s">
        <v>1256</v>
      </c>
      <c r="J177" s="17" t="n">
        <v>2</v>
      </c>
      <c r="K177" s="14"/>
      <c r="L177" s="14"/>
      <c r="M177" s="14"/>
      <c r="N177" s="14"/>
      <c r="O177" s="14" t="s">
        <v>1259</v>
      </c>
      <c r="P177" s="14"/>
    </row>
    <row r="178" customFormat="false" ht="22.35" hidden="false" customHeight="false" outlineLevel="0" collapsed="false">
      <c r="A178" s="14" t="s">
        <v>1527</v>
      </c>
      <c r="B178" s="14" t="s">
        <v>737</v>
      </c>
      <c r="C178" s="14" t="s">
        <v>145</v>
      </c>
      <c r="D178" s="14" t="s">
        <v>27</v>
      </c>
      <c r="E178" s="14" t="s">
        <v>735</v>
      </c>
      <c r="F178" s="14" t="s">
        <v>738</v>
      </c>
      <c r="G178" s="14" t="s">
        <v>642</v>
      </c>
      <c r="H178" s="14" t="s">
        <v>1084</v>
      </c>
      <c r="I178" s="14" t="s">
        <v>1256</v>
      </c>
      <c r="J178" s="17" t="n">
        <v>2</v>
      </c>
      <c r="K178" s="14"/>
      <c r="L178" s="14"/>
      <c r="M178" s="14"/>
      <c r="N178" s="14"/>
      <c r="O178" s="14" t="s">
        <v>1259</v>
      </c>
      <c r="P178" s="14"/>
    </row>
    <row r="179" customFormat="false" ht="22.35" hidden="false" customHeight="false" outlineLevel="0" collapsed="false">
      <c r="A179" s="14" t="s">
        <v>1528</v>
      </c>
      <c r="B179" s="14" t="s">
        <v>739</v>
      </c>
      <c r="C179" s="14" t="s">
        <v>740</v>
      </c>
      <c r="D179" s="14" t="s">
        <v>27</v>
      </c>
      <c r="E179" s="14" t="s">
        <v>741</v>
      </c>
      <c r="F179" s="14" t="s">
        <v>579</v>
      </c>
      <c r="G179" s="14" t="s">
        <v>63</v>
      </c>
      <c r="H179" s="14" t="s">
        <v>1084</v>
      </c>
      <c r="I179" s="14" t="s">
        <v>1256</v>
      </c>
      <c r="J179" s="17" t="n">
        <v>2</v>
      </c>
      <c r="K179" s="14"/>
      <c r="L179" s="14"/>
      <c r="M179" s="14"/>
      <c r="N179" s="14"/>
      <c r="O179" s="14" t="s">
        <v>1259</v>
      </c>
      <c r="P179" s="14" t="s">
        <v>742</v>
      </c>
    </row>
    <row r="180" customFormat="false" ht="22.35" hidden="false" customHeight="false" outlineLevel="0" collapsed="false">
      <c r="A180" s="14" t="s">
        <v>1529</v>
      </c>
      <c r="B180" s="14" t="s">
        <v>743</v>
      </c>
      <c r="C180" s="14" t="s">
        <v>145</v>
      </c>
      <c r="D180" s="14" t="s">
        <v>27</v>
      </c>
      <c r="E180" s="14" t="s">
        <v>735</v>
      </c>
      <c r="F180" s="14" t="s">
        <v>744</v>
      </c>
      <c r="G180" s="14" t="s">
        <v>77</v>
      </c>
      <c r="H180" s="14" t="s">
        <v>1084</v>
      </c>
      <c r="I180" s="14" t="s">
        <v>1256</v>
      </c>
      <c r="J180" s="17" t="n">
        <v>2</v>
      </c>
      <c r="K180" s="14"/>
      <c r="L180" s="14"/>
      <c r="M180" s="14"/>
      <c r="N180" s="14"/>
      <c r="O180" s="14" t="s">
        <v>1259</v>
      </c>
      <c r="P180" s="14"/>
    </row>
    <row r="181" customFormat="false" ht="22.35" hidden="false" customHeight="false" outlineLevel="0" collapsed="false">
      <c r="A181" s="14" t="s">
        <v>1530</v>
      </c>
      <c r="B181" s="14" t="s">
        <v>745</v>
      </c>
      <c r="C181" s="14" t="s">
        <v>145</v>
      </c>
      <c r="D181" s="14" t="s">
        <v>27</v>
      </c>
      <c r="E181" s="14" t="s">
        <v>746</v>
      </c>
      <c r="F181" s="14" t="s">
        <v>62</v>
      </c>
      <c r="G181" s="14" t="s">
        <v>63</v>
      </c>
      <c r="H181" s="14" t="s">
        <v>1084</v>
      </c>
      <c r="I181" s="14" t="s">
        <v>1256</v>
      </c>
      <c r="J181" s="17" t="n">
        <v>2</v>
      </c>
      <c r="K181" s="14"/>
      <c r="L181" s="14"/>
      <c r="M181" s="14"/>
      <c r="N181" s="14"/>
      <c r="O181" s="14" t="s">
        <v>1259</v>
      </c>
      <c r="P181" s="14"/>
    </row>
    <row r="182" customFormat="false" ht="22.35" hidden="false" customHeight="false" outlineLevel="0" collapsed="false">
      <c r="A182" s="14" t="s">
        <v>1531</v>
      </c>
      <c r="B182" s="14" t="s">
        <v>747</v>
      </c>
      <c r="C182" s="14" t="s">
        <v>145</v>
      </c>
      <c r="D182" s="14" t="s">
        <v>27</v>
      </c>
      <c r="E182" s="14" t="s">
        <v>748</v>
      </c>
      <c r="F182" s="14" t="s">
        <v>215</v>
      </c>
      <c r="G182" s="14" t="s">
        <v>77</v>
      </c>
      <c r="H182" s="14" t="s">
        <v>1084</v>
      </c>
      <c r="I182" s="14" t="s">
        <v>1256</v>
      </c>
      <c r="J182" s="17" t="n">
        <v>2</v>
      </c>
      <c r="K182" s="14"/>
      <c r="L182" s="14"/>
      <c r="M182" s="14"/>
      <c r="N182" s="14"/>
      <c r="O182" s="14" t="s">
        <v>1259</v>
      </c>
      <c r="P182" s="14"/>
    </row>
    <row r="183" customFormat="false" ht="22.35" hidden="false" customHeight="false" outlineLevel="0" collapsed="false">
      <c r="A183" s="14" t="s">
        <v>1532</v>
      </c>
      <c r="B183" s="14" t="s">
        <v>749</v>
      </c>
      <c r="C183" s="14" t="s">
        <v>750</v>
      </c>
      <c r="D183" s="14" t="s">
        <v>27</v>
      </c>
      <c r="E183" s="14" t="s">
        <v>730</v>
      </c>
      <c r="F183" s="14" t="s">
        <v>215</v>
      </c>
      <c r="G183" s="14" t="s">
        <v>77</v>
      </c>
      <c r="H183" s="14" t="s">
        <v>1084</v>
      </c>
      <c r="I183" s="14" t="s">
        <v>1256</v>
      </c>
      <c r="J183" s="17" t="n">
        <v>2</v>
      </c>
      <c r="K183" s="14"/>
      <c r="L183" s="14"/>
      <c r="M183" s="14"/>
      <c r="N183" s="14"/>
      <c r="O183" s="14" t="s">
        <v>1259</v>
      </c>
      <c r="P183" s="14" t="s">
        <v>742</v>
      </c>
    </row>
    <row r="184" customFormat="false" ht="15" hidden="false" customHeight="false" outlineLevel="0" collapsed="false">
      <c r="A184" s="14" t="s">
        <v>1533</v>
      </c>
      <c r="B184" s="14" t="s">
        <v>1534</v>
      </c>
      <c r="C184" s="14"/>
      <c r="D184" s="14" t="s">
        <v>1180</v>
      </c>
      <c r="E184" s="14" t="s">
        <v>1396</v>
      </c>
      <c r="F184" s="14"/>
      <c r="G184" s="14"/>
      <c r="H184" s="14" t="s">
        <v>1278</v>
      </c>
      <c r="I184" s="14" t="s">
        <v>1291</v>
      </c>
      <c r="J184" s="14"/>
      <c r="K184" s="14"/>
      <c r="L184" s="14"/>
      <c r="M184" s="14"/>
      <c r="N184" s="14"/>
      <c r="O184" s="14" t="s">
        <v>1279</v>
      </c>
      <c r="P184" s="14"/>
    </row>
    <row r="185" customFormat="false" ht="15" hidden="false" customHeight="false" outlineLevel="0" collapsed="false">
      <c r="A185" s="14" t="s">
        <v>1535</v>
      </c>
      <c r="B185" s="14" t="s">
        <v>1536</v>
      </c>
      <c r="C185" s="14"/>
      <c r="D185" s="14" t="s">
        <v>1180</v>
      </c>
      <c r="E185" s="14" t="s">
        <v>1396</v>
      </c>
      <c r="F185" s="14"/>
      <c r="G185" s="14"/>
      <c r="H185" s="14" t="s">
        <v>1278</v>
      </c>
      <c r="I185" s="14" t="s">
        <v>1256</v>
      </c>
      <c r="J185" s="14"/>
      <c r="K185" s="14"/>
      <c r="L185" s="14"/>
      <c r="M185" s="14"/>
      <c r="N185" s="14"/>
      <c r="O185" s="14" t="s">
        <v>1279</v>
      </c>
      <c r="P185" s="14"/>
    </row>
    <row r="186" customFormat="false" ht="15" hidden="false" customHeight="false" outlineLevel="0" collapsed="false">
      <c r="A186" s="14" t="s">
        <v>1537</v>
      </c>
      <c r="B186" s="14" t="s">
        <v>1538</v>
      </c>
      <c r="C186" s="14"/>
      <c r="D186" s="14" t="s">
        <v>1180</v>
      </c>
      <c r="E186" s="14" t="s">
        <v>1396</v>
      </c>
      <c r="F186" s="14"/>
      <c r="G186" s="14"/>
      <c r="H186" s="14" t="s">
        <v>1278</v>
      </c>
      <c r="I186" s="14" t="s">
        <v>1256</v>
      </c>
      <c r="J186" s="14"/>
      <c r="K186" s="14"/>
      <c r="L186" s="14"/>
      <c r="M186" s="14"/>
      <c r="N186" s="14"/>
      <c r="O186" s="14" t="s">
        <v>1279</v>
      </c>
      <c r="P186" s="14"/>
    </row>
    <row r="187" customFormat="false" ht="15" hidden="false" customHeight="false" outlineLevel="0" collapsed="false">
      <c r="A187" s="14" t="s">
        <v>1539</v>
      </c>
      <c r="B187" s="14" t="s">
        <v>1540</v>
      </c>
      <c r="C187" s="14"/>
      <c r="D187" s="14" t="s">
        <v>1180</v>
      </c>
      <c r="E187" s="14" t="s">
        <v>1396</v>
      </c>
      <c r="F187" s="14"/>
      <c r="G187" s="14"/>
      <c r="H187" s="14" t="s">
        <v>1278</v>
      </c>
      <c r="I187" s="14" t="s">
        <v>1256</v>
      </c>
      <c r="J187" s="14"/>
      <c r="K187" s="14"/>
      <c r="L187" s="14"/>
      <c r="M187" s="14"/>
      <c r="N187" s="14"/>
      <c r="O187" s="14" t="s">
        <v>1279</v>
      </c>
      <c r="P187" s="14"/>
    </row>
    <row r="188" customFormat="false" ht="15" hidden="false" customHeight="false" outlineLevel="0" collapsed="false">
      <c r="A188" s="14" t="s">
        <v>1541</v>
      </c>
      <c r="B188" s="14" t="s">
        <v>1542</v>
      </c>
      <c r="C188" s="14"/>
      <c r="D188" s="14" t="s">
        <v>1180</v>
      </c>
      <c r="E188" s="14" t="s">
        <v>1396</v>
      </c>
      <c r="F188" s="14"/>
      <c r="G188" s="14"/>
      <c r="H188" s="14" t="s">
        <v>1278</v>
      </c>
      <c r="I188" s="14" t="s">
        <v>1256</v>
      </c>
      <c r="J188" s="14"/>
      <c r="K188" s="14"/>
      <c r="L188" s="14"/>
      <c r="M188" s="14"/>
      <c r="N188" s="14"/>
      <c r="O188" s="14" t="s">
        <v>1279</v>
      </c>
      <c r="P188" s="14"/>
    </row>
    <row r="189" customFormat="false" ht="15" hidden="false" customHeight="false" outlineLevel="0" collapsed="false">
      <c r="A189" s="14" t="s">
        <v>1543</v>
      </c>
      <c r="B189" s="14" t="s">
        <v>1544</v>
      </c>
      <c r="C189" s="14"/>
      <c r="D189" s="14" t="s">
        <v>1180</v>
      </c>
      <c r="E189" s="14" t="s">
        <v>1396</v>
      </c>
      <c r="F189" s="14"/>
      <c r="G189" s="14"/>
      <c r="H189" s="14" t="s">
        <v>1278</v>
      </c>
      <c r="I189" s="14" t="s">
        <v>1256</v>
      </c>
      <c r="J189" s="14"/>
      <c r="K189" s="14"/>
      <c r="L189" s="14"/>
      <c r="M189" s="14"/>
      <c r="N189" s="14"/>
      <c r="O189" s="14" t="s">
        <v>1279</v>
      </c>
      <c r="P189" s="14"/>
    </row>
    <row r="190" customFormat="false" ht="15" hidden="false" customHeight="false" outlineLevel="0" collapsed="false">
      <c r="A190" s="14" t="s">
        <v>1545</v>
      </c>
      <c r="B190" s="14" t="s">
        <v>1546</v>
      </c>
      <c r="C190" s="14"/>
      <c r="D190" s="14" t="s">
        <v>1180</v>
      </c>
      <c r="E190" s="14" t="s">
        <v>1396</v>
      </c>
      <c r="F190" s="14"/>
      <c r="G190" s="14"/>
      <c r="H190" s="14" t="s">
        <v>1278</v>
      </c>
      <c r="I190" s="14" t="s">
        <v>1256</v>
      </c>
      <c r="J190" s="14"/>
      <c r="K190" s="14"/>
      <c r="L190" s="14"/>
      <c r="M190" s="14"/>
      <c r="N190" s="14"/>
      <c r="O190" s="14" t="s">
        <v>1279</v>
      </c>
      <c r="P190" s="14"/>
    </row>
    <row r="191" customFormat="false" ht="15" hidden="false" customHeight="false" outlineLevel="0" collapsed="false">
      <c r="A191" s="14" t="s">
        <v>1547</v>
      </c>
      <c r="B191" s="14" t="s">
        <v>1548</v>
      </c>
      <c r="C191" s="14"/>
      <c r="D191" s="14" t="s">
        <v>1180</v>
      </c>
      <c r="E191" s="14" t="s">
        <v>1396</v>
      </c>
      <c r="F191" s="14"/>
      <c r="G191" s="14"/>
      <c r="H191" s="14" t="s">
        <v>1278</v>
      </c>
      <c r="I191" s="14" t="s">
        <v>1256</v>
      </c>
      <c r="J191" s="14"/>
      <c r="K191" s="14"/>
      <c r="L191" s="14"/>
      <c r="M191" s="14"/>
      <c r="N191" s="14"/>
      <c r="O191" s="14" t="s">
        <v>1279</v>
      </c>
      <c r="P191" s="14"/>
    </row>
    <row r="192" customFormat="false" ht="15" hidden="false" customHeight="false" outlineLevel="0" collapsed="false">
      <c r="A192" s="14" t="s">
        <v>1549</v>
      </c>
      <c r="B192" s="14" t="s">
        <v>1550</v>
      </c>
      <c r="C192" s="14"/>
      <c r="D192" s="14" t="s">
        <v>1180</v>
      </c>
      <c r="E192" s="14" t="s">
        <v>1396</v>
      </c>
      <c r="F192" s="14"/>
      <c r="G192" s="14"/>
      <c r="H192" s="14" t="s">
        <v>1278</v>
      </c>
      <c r="I192" s="14" t="s">
        <v>1256</v>
      </c>
      <c r="J192" s="14"/>
      <c r="K192" s="14"/>
      <c r="L192" s="14"/>
      <c r="M192" s="14"/>
      <c r="N192" s="14"/>
      <c r="O192" s="14" t="s">
        <v>1279</v>
      </c>
      <c r="P192" s="14"/>
    </row>
    <row r="193" customFormat="false" ht="15" hidden="false" customHeight="false" outlineLevel="0" collapsed="false">
      <c r="A193" s="14" t="s">
        <v>1551</v>
      </c>
      <c r="B193" s="14" t="s">
        <v>1552</v>
      </c>
      <c r="C193" s="14"/>
      <c r="D193" s="14" t="s">
        <v>1180</v>
      </c>
      <c r="E193" s="14" t="s">
        <v>1396</v>
      </c>
      <c r="F193" s="14"/>
      <c r="G193" s="14"/>
      <c r="H193" s="14" t="s">
        <v>1278</v>
      </c>
      <c r="I193" s="14" t="s">
        <v>1256</v>
      </c>
      <c r="J193" s="14"/>
      <c r="K193" s="14"/>
      <c r="L193" s="14"/>
      <c r="M193" s="14"/>
      <c r="N193" s="14"/>
      <c r="O193" s="14" t="s">
        <v>1279</v>
      </c>
      <c r="P193" s="14"/>
    </row>
    <row r="194" customFormat="false" ht="15" hidden="false" customHeight="false" outlineLevel="0" collapsed="false">
      <c r="A194" s="14" t="s">
        <v>1553</v>
      </c>
      <c r="B194" s="14" t="s">
        <v>1554</v>
      </c>
      <c r="C194" s="14"/>
      <c r="D194" s="14" t="s">
        <v>1180</v>
      </c>
      <c r="E194" s="14" t="s">
        <v>1396</v>
      </c>
      <c r="F194" s="14"/>
      <c r="G194" s="14"/>
      <c r="H194" s="14" t="s">
        <v>1278</v>
      </c>
      <c r="I194" s="14" t="s">
        <v>1256</v>
      </c>
      <c r="J194" s="14"/>
      <c r="K194" s="14"/>
      <c r="L194" s="14"/>
      <c r="M194" s="14"/>
      <c r="N194" s="14"/>
      <c r="O194" s="14" t="s">
        <v>1279</v>
      </c>
      <c r="P194" s="14"/>
    </row>
    <row r="195" customFormat="false" ht="15" hidden="false" customHeight="false" outlineLevel="0" collapsed="false">
      <c r="A195" s="14" t="s">
        <v>1555</v>
      </c>
      <c r="B195" s="14" t="s">
        <v>1556</v>
      </c>
      <c r="C195" s="14"/>
      <c r="D195" s="14" t="s">
        <v>1180</v>
      </c>
      <c r="E195" s="14" t="s">
        <v>1396</v>
      </c>
      <c r="F195" s="14"/>
      <c r="G195" s="14"/>
      <c r="H195" s="14" t="s">
        <v>1278</v>
      </c>
      <c r="I195" s="14" t="s">
        <v>1256</v>
      </c>
      <c r="J195" s="14"/>
      <c r="K195" s="14"/>
      <c r="L195" s="14"/>
      <c r="M195" s="14"/>
      <c r="N195" s="14"/>
      <c r="O195" s="14" t="s">
        <v>1279</v>
      </c>
      <c r="P195" s="14"/>
    </row>
    <row r="196" customFormat="false" ht="15" hidden="false" customHeight="false" outlineLevel="0" collapsed="false">
      <c r="A196" s="14" t="s">
        <v>1557</v>
      </c>
      <c r="B196" s="14" t="s">
        <v>1558</v>
      </c>
      <c r="C196" s="14"/>
      <c r="D196" s="14" t="s">
        <v>1180</v>
      </c>
      <c r="E196" s="14" t="s">
        <v>1396</v>
      </c>
      <c r="F196" s="14"/>
      <c r="G196" s="14"/>
      <c r="H196" s="14" t="s">
        <v>1278</v>
      </c>
      <c r="I196" s="14" t="s">
        <v>1256</v>
      </c>
      <c r="J196" s="14"/>
      <c r="K196" s="14"/>
      <c r="L196" s="14"/>
      <c r="M196" s="14"/>
      <c r="N196" s="14"/>
      <c r="O196" s="14" t="s">
        <v>1279</v>
      </c>
      <c r="P196" s="14"/>
    </row>
    <row r="197" customFormat="false" ht="15" hidden="false" customHeight="false" outlineLevel="0" collapsed="false">
      <c r="A197" s="14" t="s">
        <v>1559</v>
      </c>
      <c r="B197" s="14" t="s">
        <v>1560</v>
      </c>
      <c r="C197" s="14"/>
      <c r="D197" s="14" t="s">
        <v>1180</v>
      </c>
      <c r="E197" s="14" t="s">
        <v>1396</v>
      </c>
      <c r="F197" s="14"/>
      <c r="G197" s="14"/>
      <c r="H197" s="14" t="s">
        <v>1278</v>
      </c>
      <c r="I197" s="14" t="s">
        <v>1256</v>
      </c>
      <c r="J197" s="14"/>
      <c r="K197" s="14"/>
      <c r="L197" s="14"/>
      <c r="M197" s="14"/>
      <c r="N197" s="14"/>
      <c r="O197" s="14" t="s">
        <v>1279</v>
      </c>
      <c r="P197" s="14"/>
    </row>
    <row r="198" customFormat="false" ht="15" hidden="false" customHeight="false" outlineLevel="0" collapsed="false">
      <c r="A198" s="14" t="s">
        <v>1561</v>
      </c>
      <c r="B198" s="14" t="s">
        <v>1562</v>
      </c>
      <c r="C198" s="14"/>
      <c r="D198" s="14" t="s">
        <v>1180</v>
      </c>
      <c r="E198" s="14" t="s">
        <v>1396</v>
      </c>
      <c r="F198" s="14"/>
      <c r="G198" s="14"/>
      <c r="H198" s="14" t="s">
        <v>1278</v>
      </c>
      <c r="I198" s="14" t="s">
        <v>1256</v>
      </c>
      <c r="J198" s="14"/>
      <c r="K198" s="14"/>
      <c r="L198" s="14"/>
      <c r="M198" s="14"/>
      <c r="N198" s="14"/>
      <c r="O198" s="14" t="s">
        <v>1279</v>
      </c>
      <c r="P198" s="14"/>
    </row>
    <row r="199" customFormat="false" ht="15" hidden="false" customHeight="false" outlineLevel="0" collapsed="false">
      <c r="A199" s="14" t="s">
        <v>1563</v>
      </c>
      <c r="B199" s="14" t="s">
        <v>1564</v>
      </c>
      <c r="C199" s="14"/>
      <c r="D199" s="14" t="s">
        <v>1180</v>
      </c>
      <c r="E199" s="14" t="s">
        <v>1396</v>
      </c>
      <c r="F199" s="14"/>
      <c r="G199" s="14"/>
      <c r="H199" s="14" t="s">
        <v>1278</v>
      </c>
      <c r="I199" s="14" t="s">
        <v>1256</v>
      </c>
      <c r="J199" s="14"/>
      <c r="K199" s="14"/>
      <c r="L199" s="14"/>
      <c r="M199" s="14"/>
      <c r="N199" s="14"/>
      <c r="O199" s="14" t="s">
        <v>1279</v>
      </c>
      <c r="P199" s="14"/>
    </row>
    <row r="200" customFormat="false" ht="15" hidden="false" customHeight="false" outlineLevel="0" collapsed="false">
      <c r="A200" s="14" t="s">
        <v>1565</v>
      </c>
      <c r="B200" s="14" t="s">
        <v>1566</v>
      </c>
      <c r="C200" s="14"/>
      <c r="D200" s="14" t="s">
        <v>1180</v>
      </c>
      <c r="E200" s="14" t="s">
        <v>1396</v>
      </c>
      <c r="F200" s="14"/>
      <c r="G200" s="14"/>
      <c r="H200" s="14" t="s">
        <v>1278</v>
      </c>
      <c r="I200" s="14" t="s">
        <v>1256</v>
      </c>
      <c r="J200" s="14"/>
      <c r="K200" s="14"/>
      <c r="L200" s="14"/>
      <c r="M200" s="14"/>
      <c r="N200" s="14"/>
      <c r="O200" s="14" t="s">
        <v>1279</v>
      </c>
      <c r="P200" s="14"/>
    </row>
    <row r="201" customFormat="false" ht="15" hidden="false" customHeight="false" outlineLevel="0" collapsed="false">
      <c r="A201" s="14" t="s">
        <v>1567</v>
      </c>
      <c r="B201" s="14" t="s">
        <v>1568</v>
      </c>
      <c r="C201" s="14"/>
      <c r="D201" s="14" t="s">
        <v>1180</v>
      </c>
      <c r="E201" s="14" t="s">
        <v>1396</v>
      </c>
      <c r="F201" s="14"/>
      <c r="G201" s="14"/>
      <c r="H201" s="14" t="s">
        <v>1278</v>
      </c>
      <c r="I201" s="14" t="s">
        <v>1256</v>
      </c>
      <c r="J201" s="14"/>
      <c r="K201" s="14"/>
      <c r="L201" s="14"/>
      <c r="M201" s="14"/>
      <c r="N201" s="14"/>
      <c r="O201" s="14" t="s">
        <v>1279</v>
      </c>
      <c r="P201" s="14"/>
    </row>
    <row r="202" customFormat="false" ht="15" hidden="false" customHeight="false" outlineLevel="0" collapsed="false">
      <c r="A202" s="14" t="s">
        <v>1569</v>
      </c>
      <c r="B202" s="14" t="s">
        <v>1570</v>
      </c>
      <c r="C202" s="14" t="s">
        <v>1571</v>
      </c>
      <c r="D202" s="14" t="s">
        <v>1180</v>
      </c>
      <c r="E202" s="14" t="s">
        <v>1396</v>
      </c>
      <c r="F202" s="14" t="s">
        <v>215</v>
      </c>
      <c r="G202" s="14" t="s">
        <v>77</v>
      </c>
      <c r="H202" s="14" t="s">
        <v>1278</v>
      </c>
      <c r="I202" s="14" t="s">
        <v>1256</v>
      </c>
      <c r="J202" s="14"/>
      <c r="K202" s="14"/>
      <c r="L202" s="14"/>
      <c r="M202" s="14"/>
      <c r="N202" s="14"/>
      <c r="O202" s="14" t="s">
        <v>1279</v>
      </c>
      <c r="P202" s="14"/>
    </row>
    <row r="203" customFormat="false" ht="15" hidden="false" customHeight="false" outlineLevel="0" collapsed="false">
      <c r="A203" s="14" t="s">
        <v>1572</v>
      </c>
      <c r="B203" s="14" t="s">
        <v>1573</v>
      </c>
      <c r="C203" s="14"/>
      <c r="D203" s="14" t="s">
        <v>1180</v>
      </c>
      <c r="E203" s="14" t="s">
        <v>1396</v>
      </c>
      <c r="F203" s="14"/>
      <c r="G203" s="14"/>
      <c r="H203" s="14" t="s">
        <v>1278</v>
      </c>
      <c r="I203" s="14" t="s">
        <v>1256</v>
      </c>
      <c r="J203" s="14"/>
      <c r="K203" s="14"/>
      <c r="L203" s="14"/>
      <c r="M203" s="14"/>
      <c r="N203" s="14"/>
      <c r="O203" s="14" t="s">
        <v>1279</v>
      </c>
      <c r="P203" s="14"/>
    </row>
    <row r="204" customFormat="false" ht="15" hidden="false" customHeight="false" outlineLevel="0" collapsed="false">
      <c r="A204" s="14" t="s">
        <v>1574</v>
      </c>
      <c r="B204" s="14" t="s">
        <v>1575</v>
      </c>
      <c r="C204" s="14"/>
      <c r="D204" s="14" t="s">
        <v>1180</v>
      </c>
      <c r="E204" s="14" t="s">
        <v>1396</v>
      </c>
      <c r="F204" s="14"/>
      <c r="G204" s="14"/>
      <c r="H204" s="14" t="s">
        <v>1278</v>
      </c>
      <c r="I204" s="14" t="s">
        <v>1256</v>
      </c>
      <c r="J204" s="14"/>
      <c r="K204" s="14"/>
      <c r="L204" s="14"/>
      <c r="M204" s="14"/>
      <c r="N204" s="14"/>
      <c r="O204" s="14" t="s">
        <v>1279</v>
      </c>
      <c r="P204" s="14"/>
    </row>
    <row r="205" customFormat="false" ht="15" hidden="false" customHeight="false" outlineLevel="0" collapsed="false">
      <c r="A205" s="14" t="s">
        <v>1576</v>
      </c>
      <c r="B205" s="14" t="s">
        <v>1577</v>
      </c>
      <c r="C205" s="14"/>
      <c r="D205" s="14" t="s">
        <v>1180</v>
      </c>
      <c r="E205" s="14" t="s">
        <v>1396</v>
      </c>
      <c r="F205" s="14"/>
      <c r="G205" s="14"/>
      <c r="H205" s="14" t="s">
        <v>1278</v>
      </c>
      <c r="I205" s="14" t="s">
        <v>1256</v>
      </c>
      <c r="J205" s="14"/>
      <c r="K205" s="14"/>
      <c r="L205" s="14"/>
      <c r="M205" s="14"/>
      <c r="N205" s="14"/>
      <c r="O205" s="14" t="s">
        <v>1279</v>
      </c>
      <c r="P205" s="14"/>
    </row>
    <row r="206" customFormat="false" ht="15" hidden="false" customHeight="false" outlineLevel="0" collapsed="false">
      <c r="A206" s="14" t="s">
        <v>1578</v>
      </c>
      <c r="B206" s="14" t="s">
        <v>1579</v>
      </c>
      <c r="C206" s="14"/>
      <c r="D206" s="14" t="s">
        <v>1180</v>
      </c>
      <c r="E206" s="14" t="s">
        <v>1396</v>
      </c>
      <c r="F206" s="14"/>
      <c r="G206" s="14"/>
      <c r="H206" s="14" t="s">
        <v>1278</v>
      </c>
      <c r="I206" s="14" t="s">
        <v>1256</v>
      </c>
      <c r="J206" s="14"/>
      <c r="K206" s="14"/>
      <c r="L206" s="14"/>
      <c r="M206" s="14"/>
      <c r="N206" s="14"/>
      <c r="O206" s="14" t="s">
        <v>1279</v>
      </c>
      <c r="P206" s="14"/>
    </row>
    <row r="207" customFormat="false" ht="15" hidden="false" customHeight="false" outlineLevel="0" collapsed="false">
      <c r="A207" s="14" t="s">
        <v>1580</v>
      </c>
      <c r="B207" s="14" t="s">
        <v>1581</v>
      </c>
      <c r="C207" s="14" t="s">
        <v>1582</v>
      </c>
      <c r="D207" s="14" t="s">
        <v>1180</v>
      </c>
      <c r="E207" s="14" t="s">
        <v>1396</v>
      </c>
      <c r="F207" s="14" t="s">
        <v>215</v>
      </c>
      <c r="G207" s="14" t="s">
        <v>77</v>
      </c>
      <c r="H207" s="14" t="s">
        <v>1278</v>
      </c>
      <c r="I207" s="14" t="s">
        <v>1256</v>
      </c>
      <c r="J207" s="14"/>
      <c r="K207" s="14"/>
      <c r="L207" s="14"/>
      <c r="M207" s="14"/>
      <c r="N207" s="14"/>
      <c r="O207" s="14" t="s">
        <v>1279</v>
      </c>
      <c r="P207" s="14"/>
    </row>
    <row r="208" customFormat="false" ht="15" hidden="false" customHeight="false" outlineLevel="0" collapsed="false">
      <c r="A208" s="14" t="s">
        <v>1583</v>
      </c>
      <c r="B208" s="14" t="s">
        <v>1584</v>
      </c>
      <c r="C208" s="14"/>
      <c r="D208" s="14" t="s">
        <v>1180</v>
      </c>
      <c r="E208" s="14" t="s">
        <v>1396</v>
      </c>
      <c r="F208" s="14"/>
      <c r="G208" s="14"/>
      <c r="H208" s="14" t="s">
        <v>1278</v>
      </c>
      <c r="I208" s="14" t="s">
        <v>1256</v>
      </c>
      <c r="J208" s="14"/>
      <c r="K208" s="14"/>
      <c r="L208" s="14"/>
      <c r="M208" s="14"/>
      <c r="N208" s="14"/>
      <c r="O208" s="14" t="s">
        <v>1279</v>
      </c>
      <c r="P208" s="14"/>
    </row>
    <row r="209" customFormat="false" ht="15" hidden="false" customHeight="false" outlineLevel="0" collapsed="false">
      <c r="A209" s="14" t="s">
        <v>1585</v>
      </c>
      <c r="B209" s="14" t="s">
        <v>1586</v>
      </c>
      <c r="C209" s="14"/>
      <c r="D209" s="14" t="s">
        <v>1180</v>
      </c>
      <c r="E209" s="14" t="s">
        <v>1396</v>
      </c>
      <c r="F209" s="14"/>
      <c r="G209" s="14"/>
      <c r="H209" s="14" t="s">
        <v>1278</v>
      </c>
      <c r="I209" s="14" t="s">
        <v>1256</v>
      </c>
      <c r="J209" s="14"/>
      <c r="K209" s="14"/>
      <c r="L209" s="14"/>
      <c r="M209" s="14"/>
      <c r="N209" s="14"/>
      <c r="O209" s="14" t="s">
        <v>1279</v>
      </c>
      <c r="P209" s="14"/>
    </row>
    <row r="210" customFormat="false" ht="15" hidden="false" customHeight="false" outlineLevel="0" collapsed="false">
      <c r="A210" s="14" t="s">
        <v>1587</v>
      </c>
      <c r="B210" s="14" t="s">
        <v>1588</v>
      </c>
      <c r="C210" s="14"/>
      <c r="D210" s="14" t="s">
        <v>1180</v>
      </c>
      <c r="E210" s="14" t="s">
        <v>1396</v>
      </c>
      <c r="F210" s="14"/>
      <c r="G210" s="14"/>
      <c r="H210" s="14" t="s">
        <v>1278</v>
      </c>
      <c r="I210" s="14" t="s">
        <v>1256</v>
      </c>
      <c r="J210" s="14"/>
      <c r="K210" s="14"/>
      <c r="L210" s="14"/>
      <c r="M210" s="14"/>
      <c r="N210" s="14"/>
      <c r="O210" s="14" t="s">
        <v>1279</v>
      </c>
      <c r="P210" s="14"/>
    </row>
    <row r="211" customFormat="false" ht="15" hidden="false" customHeight="false" outlineLevel="0" collapsed="false">
      <c r="A211" s="14" t="s">
        <v>1589</v>
      </c>
      <c r="B211" s="14" t="s">
        <v>1590</v>
      </c>
      <c r="C211" s="14"/>
      <c r="D211" s="14" t="s">
        <v>1180</v>
      </c>
      <c r="E211" s="14" t="s">
        <v>1396</v>
      </c>
      <c r="F211" s="14"/>
      <c r="G211" s="14"/>
      <c r="H211" s="14" t="s">
        <v>1278</v>
      </c>
      <c r="I211" s="14" t="s">
        <v>1256</v>
      </c>
      <c r="J211" s="14"/>
      <c r="K211" s="14"/>
      <c r="L211" s="14"/>
      <c r="M211" s="14"/>
      <c r="N211" s="14"/>
      <c r="O211" s="14" t="s">
        <v>1279</v>
      </c>
      <c r="P211" s="14"/>
    </row>
    <row r="212" customFormat="false" ht="15" hidden="false" customHeight="false" outlineLevel="0" collapsed="false">
      <c r="A212" s="14" t="s">
        <v>1591</v>
      </c>
      <c r="B212" s="14" t="s">
        <v>1592</v>
      </c>
      <c r="C212" s="14"/>
      <c r="D212" s="14" t="s">
        <v>1180</v>
      </c>
      <c r="E212" s="14" t="s">
        <v>1396</v>
      </c>
      <c r="F212" s="14"/>
      <c r="G212" s="14"/>
      <c r="H212" s="14" t="s">
        <v>1278</v>
      </c>
      <c r="I212" s="14" t="s">
        <v>1256</v>
      </c>
      <c r="J212" s="14"/>
      <c r="K212" s="14"/>
      <c r="L212" s="14"/>
      <c r="M212" s="14"/>
      <c r="N212" s="14"/>
      <c r="O212" s="14" t="s">
        <v>1279</v>
      </c>
      <c r="P212" s="14"/>
    </row>
    <row r="213" customFormat="false" ht="15" hidden="false" customHeight="false" outlineLevel="0" collapsed="false">
      <c r="A213" s="14" t="s">
        <v>1593</v>
      </c>
      <c r="B213" s="14" t="s">
        <v>1594</v>
      </c>
      <c r="C213" s="14"/>
      <c r="D213" s="14" t="s">
        <v>1180</v>
      </c>
      <c r="E213" s="14" t="s">
        <v>1396</v>
      </c>
      <c r="F213" s="14"/>
      <c r="G213" s="14"/>
      <c r="H213" s="14" t="s">
        <v>1278</v>
      </c>
      <c r="I213" s="14" t="s">
        <v>1256</v>
      </c>
      <c r="J213" s="14"/>
      <c r="K213" s="14"/>
      <c r="L213" s="14"/>
      <c r="M213" s="14"/>
      <c r="N213" s="14"/>
      <c r="O213" s="14" t="s">
        <v>1279</v>
      </c>
      <c r="P213" s="14"/>
    </row>
    <row r="214" customFormat="false" ht="15" hidden="false" customHeight="false" outlineLevel="0" collapsed="false">
      <c r="A214" s="14" t="s">
        <v>1595</v>
      </c>
      <c r="B214" s="14" t="s">
        <v>1596</v>
      </c>
      <c r="C214" s="14"/>
      <c r="D214" s="14" t="s">
        <v>1180</v>
      </c>
      <c r="E214" s="14" t="s">
        <v>1396</v>
      </c>
      <c r="F214" s="14"/>
      <c r="G214" s="14"/>
      <c r="H214" s="14" t="s">
        <v>1278</v>
      </c>
      <c r="I214" s="14" t="s">
        <v>1256</v>
      </c>
      <c r="J214" s="14"/>
      <c r="K214" s="14"/>
      <c r="L214" s="14"/>
      <c r="M214" s="14"/>
      <c r="N214" s="14"/>
      <c r="O214" s="14" t="s">
        <v>1279</v>
      </c>
      <c r="P214" s="14"/>
    </row>
    <row r="215" customFormat="false" ht="15" hidden="false" customHeight="false" outlineLevel="0" collapsed="false">
      <c r="A215" s="14" t="s">
        <v>1597</v>
      </c>
      <c r="B215" s="14" t="s">
        <v>1598</v>
      </c>
      <c r="C215" s="14"/>
      <c r="D215" s="14" t="s">
        <v>1180</v>
      </c>
      <c r="E215" s="14" t="s">
        <v>1396</v>
      </c>
      <c r="F215" s="14"/>
      <c r="G215" s="14"/>
      <c r="H215" s="14" t="s">
        <v>1278</v>
      </c>
      <c r="I215" s="14" t="s">
        <v>1256</v>
      </c>
      <c r="J215" s="14"/>
      <c r="K215" s="14"/>
      <c r="L215" s="14"/>
      <c r="M215" s="14"/>
      <c r="N215" s="14"/>
      <c r="O215" s="14" t="s">
        <v>1279</v>
      </c>
      <c r="P215" s="14"/>
    </row>
    <row r="216" customFormat="false" ht="15" hidden="false" customHeight="false" outlineLevel="0" collapsed="false">
      <c r="A216" s="14" t="s">
        <v>1599</v>
      </c>
      <c r="B216" s="14" t="s">
        <v>1600</v>
      </c>
      <c r="C216" s="14"/>
      <c r="D216" s="14" t="s">
        <v>1180</v>
      </c>
      <c r="E216" s="14" t="s">
        <v>1396</v>
      </c>
      <c r="F216" s="14"/>
      <c r="G216" s="14"/>
      <c r="H216" s="14" t="s">
        <v>1278</v>
      </c>
      <c r="I216" s="14" t="s">
        <v>1256</v>
      </c>
      <c r="J216" s="14"/>
      <c r="K216" s="14"/>
      <c r="L216" s="14"/>
      <c r="M216" s="14"/>
      <c r="N216" s="14"/>
      <c r="O216" s="14" t="s">
        <v>1279</v>
      </c>
      <c r="P216" s="14"/>
    </row>
    <row r="217" customFormat="false" ht="15" hidden="false" customHeight="false" outlineLevel="0" collapsed="false">
      <c r="A217" s="14" t="s">
        <v>1601</v>
      </c>
      <c r="B217" s="14" t="s">
        <v>1602</v>
      </c>
      <c r="C217" s="14"/>
      <c r="D217" s="14" t="s">
        <v>1180</v>
      </c>
      <c r="E217" s="14" t="s">
        <v>1396</v>
      </c>
      <c r="F217" s="14"/>
      <c r="G217" s="14"/>
      <c r="H217" s="14" t="s">
        <v>1278</v>
      </c>
      <c r="I217" s="14" t="s">
        <v>1256</v>
      </c>
      <c r="J217" s="14"/>
      <c r="K217" s="14"/>
      <c r="L217" s="14"/>
      <c r="M217" s="14"/>
      <c r="N217" s="14"/>
      <c r="O217" s="14" t="s">
        <v>1279</v>
      </c>
      <c r="P217" s="14"/>
    </row>
    <row r="218" customFormat="false" ht="15" hidden="false" customHeight="false" outlineLevel="0" collapsed="false">
      <c r="A218" s="14" t="s">
        <v>1603</v>
      </c>
      <c r="B218" s="14" t="s">
        <v>1604</v>
      </c>
      <c r="C218" s="14"/>
      <c r="D218" s="14" t="s">
        <v>1180</v>
      </c>
      <c r="E218" s="14" t="s">
        <v>1396</v>
      </c>
      <c r="F218" s="14"/>
      <c r="G218" s="14"/>
      <c r="H218" s="14" t="s">
        <v>1278</v>
      </c>
      <c r="I218" s="14" t="s">
        <v>1256</v>
      </c>
      <c r="J218" s="14"/>
      <c r="K218" s="14"/>
      <c r="L218" s="14"/>
      <c r="M218" s="14"/>
      <c r="N218" s="14"/>
      <c r="O218" s="14" t="s">
        <v>1279</v>
      </c>
      <c r="P218" s="14"/>
    </row>
    <row r="219" customFormat="false" ht="15" hidden="false" customHeight="false" outlineLevel="0" collapsed="false">
      <c r="A219" s="14" t="s">
        <v>1605</v>
      </c>
      <c r="B219" s="14" t="s">
        <v>1606</v>
      </c>
      <c r="C219" s="14"/>
      <c r="D219" s="14" t="s">
        <v>1180</v>
      </c>
      <c r="E219" s="14" t="s">
        <v>1396</v>
      </c>
      <c r="F219" s="14"/>
      <c r="G219" s="14"/>
      <c r="H219" s="14" t="s">
        <v>1278</v>
      </c>
      <c r="I219" s="14" t="s">
        <v>1256</v>
      </c>
      <c r="J219" s="14"/>
      <c r="K219" s="14"/>
      <c r="L219" s="14"/>
      <c r="M219" s="14"/>
      <c r="N219" s="14"/>
      <c r="O219" s="14" t="s">
        <v>1279</v>
      </c>
      <c r="P219" s="14"/>
    </row>
    <row r="220" customFormat="false" ht="15" hidden="false" customHeight="false" outlineLevel="0" collapsed="false">
      <c r="A220" s="14" t="s">
        <v>1607</v>
      </c>
      <c r="B220" s="14" t="s">
        <v>1608</v>
      </c>
      <c r="C220" s="14"/>
      <c r="D220" s="14" t="s">
        <v>1180</v>
      </c>
      <c r="E220" s="14" t="s">
        <v>1396</v>
      </c>
      <c r="F220" s="14"/>
      <c r="G220" s="14"/>
      <c r="H220" s="14" t="s">
        <v>1278</v>
      </c>
      <c r="I220" s="14" t="s">
        <v>1256</v>
      </c>
      <c r="J220" s="14"/>
      <c r="K220" s="14"/>
      <c r="L220" s="14"/>
      <c r="M220" s="14"/>
      <c r="N220" s="14"/>
      <c r="O220" s="14" t="s">
        <v>1279</v>
      </c>
      <c r="P220" s="14"/>
    </row>
    <row r="221" customFormat="false" ht="15" hidden="false" customHeight="false" outlineLevel="0" collapsed="false">
      <c r="A221" s="14" t="s">
        <v>1609</v>
      </c>
      <c r="B221" s="14" t="s">
        <v>1610</v>
      </c>
      <c r="C221" s="14"/>
      <c r="D221" s="14" t="s">
        <v>1180</v>
      </c>
      <c r="E221" s="14" t="s">
        <v>1396</v>
      </c>
      <c r="F221" s="14"/>
      <c r="G221" s="14"/>
      <c r="H221" s="14" t="s">
        <v>1278</v>
      </c>
      <c r="I221" s="14" t="s">
        <v>1256</v>
      </c>
      <c r="J221" s="14"/>
      <c r="K221" s="14"/>
      <c r="L221" s="14"/>
      <c r="M221" s="14"/>
      <c r="N221" s="14"/>
      <c r="O221" s="14" t="s">
        <v>1279</v>
      </c>
      <c r="P221" s="14"/>
    </row>
    <row r="222" customFormat="false" ht="15" hidden="false" customHeight="false" outlineLevel="0" collapsed="false">
      <c r="A222" s="14" t="s">
        <v>1611</v>
      </c>
      <c r="B222" s="14" t="s">
        <v>1612</v>
      </c>
      <c r="C222" s="14"/>
      <c r="D222" s="14" t="s">
        <v>1180</v>
      </c>
      <c r="E222" s="14" t="s">
        <v>1396</v>
      </c>
      <c r="F222" s="14"/>
      <c r="G222" s="14"/>
      <c r="H222" s="14" t="s">
        <v>1278</v>
      </c>
      <c r="I222" s="14" t="s">
        <v>1256</v>
      </c>
      <c r="J222" s="14"/>
      <c r="K222" s="14"/>
      <c r="L222" s="14"/>
      <c r="M222" s="14"/>
      <c r="N222" s="14"/>
      <c r="O222" s="14" t="s">
        <v>1279</v>
      </c>
      <c r="P222" s="14"/>
    </row>
    <row r="223" customFormat="false" ht="15" hidden="false" customHeight="false" outlineLevel="0" collapsed="false">
      <c r="A223" s="14" t="s">
        <v>1613</v>
      </c>
      <c r="B223" s="14" t="s">
        <v>1614</v>
      </c>
      <c r="C223" s="14"/>
      <c r="D223" s="14" t="s">
        <v>1180</v>
      </c>
      <c r="E223" s="14" t="s">
        <v>1396</v>
      </c>
      <c r="F223" s="14"/>
      <c r="G223" s="14"/>
      <c r="H223" s="14" t="s">
        <v>1278</v>
      </c>
      <c r="I223" s="14" t="s">
        <v>1256</v>
      </c>
      <c r="J223" s="14"/>
      <c r="K223" s="14"/>
      <c r="L223" s="14"/>
      <c r="M223" s="14"/>
      <c r="N223" s="14"/>
      <c r="O223" s="14" t="s">
        <v>1279</v>
      </c>
      <c r="P223" s="14"/>
    </row>
    <row r="224" customFormat="false" ht="15" hidden="false" customHeight="false" outlineLevel="0" collapsed="false">
      <c r="A224" s="14" t="s">
        <v>1615</v>
      </c>
      <c r="B224" s="14" t="s">
        <v>1616</v>
      </c>
      <c r="C224" s="14"/>
      <c r="D224" s="14" t="s">
        <v>1180</v>
      </c>
      <c r="E224" s="14" t="s">
        <v>1396</v>
      </c>
      <c r="F224" s="14"/>
      <c r="G224" s="14"/>
      <c r="H224" s="14" t="s">
        <v>1278</v>
      </c>
      <c r="I224" s="14" t="s">
        <v>1256</v>
      </c>
      <c r="J224" s="14"/>
      <c r="K224" s="14"/>
      <c r="L224" s="14"/>
      <c r="M224" s="14"/>
      <c r="N224" s="14"/>
      <c r="O224" s="14" t="s">
        <v>1279</v>
      </c>
      <c r="P224" s="14"/>
    </row>
    <row r="225" customFormat="false" ht="15" hidden="false" customHeight="false" outlineLevel="0" collapsed="false">
      <c r="A225" s="14" t="s">
        <v>1617</v>
      </c>
      <c r="B225" s="14" t="s">
        <v>1618</v>
      </c>
      <c r="C225" s="14"/>
      <c r="D225" s="14" t="s">
        <v>1180</v>
      </c>
      <c r="E225" s="14" t="s">
        <v>1396</v>
      </c>
      <c r="F225" s="14"/>
      <c r="G225" s="14"/>
      <c r="H225" s="14" t="s">
        <v>1278</v>
      </c>
      <c r="I225" s="14" t="s">
        <v>1256</v>
      </c>
      <c r="J225" s="14"/>
      <c r="K225" s="14"/>
      <c r="L225" s="14"/>
      <c r="M225" s="14"/>
      <c r="N225" s="14"/>
      <c r="O225" s="14" t="s">
        <v>1279</v>
      </c>
      <c r="P225" s="14"/>
    </row>
    <row r="226" customFormat="false" ht="15" hidden="false" customHeight="false" outlineLevel="0" collapsed="false">
      <c r="A226" s="14" t="s">
        <v>1619</v>
      </c>
      <c r="B226" s="14" t="s">
        <v>1620</v>
      </c>
      <c r="C226" s="14"/>
      <c r="D226" s="14" t="s">
        <v>1180</v>
      </c>
      <c r="E226" s="14" t="s">
        <v>1396</v>
      </c>
      <c r="F226" s="14"/>
      <c r="G226" s="14"/>
      <c r="H226" s="14" t="s">
        <v>1278</v>
      </c>
      <c r="I226" s="14" t="s">
        <v>1256</v>
      </c>
      <c r="J226" s="14"/>
      <c r="K226" s="14"/>
      <c r="L226" s="14"/>
      <c r="M226" s="14"/>
      <c r="N226" s="14"/>
      <c r="O226" s="14" t="s">
        <v>1279</v>
      </c>
      <c r="P226" s="14"/>
    </row>
    <row r="227" customFormat="false" ht="15" hidden="false" customHeight="false" outlineLevel="0" collapsed="false">
      <c r="A227" s="14" t="s">
        <v>1621</v>
      </c>
      <c r="B227" s="14" t="s">
        <v>1622</v>
      </c>
      <c r="C227" s="14"/>
      <c r="D227" s="14" t="s">
        <v>1180</v>
      </c>
      <c r="E227" s="14" t="s">
        <v>1396</v>
      </c>
      <c r="F227" s="14"/>
      <c r="G227" s="14"/>
      <c r="H227" s="14" t="s">
        <v>1278</v>
      </c>
      <c r="I227" s="14" t="s">
        <v>1256</v>
      </c>
      <c r="J227" s="14"/>
      <c r="K227" s="14"/>
      <c r="L227" s="14"/>
      <c r="M227" s="14"/>
      <c r="N227" s="14"/>
      <c r="O227" s="14" t="s">
        <v>1279</v>
      </c>
      <c r="P227" s="14"/>
    </row>
    <row r="228" customFormat="false" ht="15" hidden="false" customHeight="false" outlineLevel="0" collapsed="false">
      <c r="A228" s="14" t="s">
        <v>1623</v>
      </c>
      <c r="B228" s="14" t="s">
        <v>1624</v>
      </c>
      <c r="C228" s="14"/>
      <c r="D228" s="14" t="s">
        <v>1180</v>
      </c>
      <c r="E228" s="14" t="s">
        <v>1396</v>
      </c>
      <c r="F228" s="14"/>
      <c r="G228" s="14"/>
      <c r="H228" s="14" t="s">
        <v>1278</v>
      </c>
      <c r="I228" s="14" t="s">
        <v>1256</v>
      </c>
      <c r="J228" s="14"/>
      <c r="K228" s="14"/>
      <c r="L228" s="14"/>
      <c r="M228" s="14"/>
      <c r="N228" s="14"/>
      <c r="O228" s="14" t="s">
        <v>1279</v>
      </c>
      <c r="P228" s="14"/>
    </row>
    <row r="229" customFormat="false" ht="15" hidden="false" customHeight="false" outlineLevel="0" collapsed="false">
      <c r="A229" s="14" t="s">
        <v>1625</v>
      </c>
      <c r="B229" s="14" t="s">
        <v>1626</v>
      </c>
      <c r="C229" s="14"/>
      <c r="D229" s="14" t="s">
        <v>1180</v>
      </c>
      <c r="E229" s="14" t="s">
        <v>1396</v>
      </c>
      <c r="F229" s="14"/>
      <c r="G229" s="14"/>
      <c r="H229" s="14" t="s">
        <v>1278</v>
      </c>
      <c r="I229" s="14" t="s">
        <v>1256</v>
      </c>
      <c r="J229" s="14"/>
      <c r="K229" s="14"/>
      <c r="L229" s="14"/>
      <c r="M229" s="14"/>
      <c r="N229" s="14"/>
      <c r="O229" s="14" t="s">
        <v>1279</v>
      </c>
      <c r="P229" s="14"/>
    </row>
    <row r="230" customFormat="false" ht="15" hidden="false" customHeight="false" outlineLevel="0" collapsed="false">
      <c r="A230" s="14" t="s">
        <v>1627</v>
      </c>
      <c r="B230" s="14" t="s">
        <v>1628</v>
      </c>
      <c r="C230" s="14"/>
      <c r="D230" s="14" t="s">
        <v>1180</v>
      </c>
      <c r="E230" s="14" t="s">
        <v>1396</v>
      </c>
      <c r="F230" s="14"/>
      <c r="G230" s="14"/>
      <c r="H230" s="14" t="s">
        <v>1278</v>
      </c>
      <c r="I230" s="14" t="s">
        <v>1256</v>
      </c>
      <c r="J230" s="14"/>
      <c r="K230" s="14"/>
      <c r="L230" s="14"/>
      <c r="M230" s="14"/>
      <c r="N230" s="14"/>
      <c r="O230" s="14" t="s">
        <v>1279</v>
      </c>
      <c r="P230" s="14"/>
    </row>
    <row r="231" customFormat="false" ht="15" hidden="false" customHeight="false" outlineLevel="0" collapsed="false">
      <c r="A231" s="14" t="s">
        <v>1629</v>
      </c>
      <c r="B231" s="14" t="s">
        <v>1630</v>
      </c>
      <c r="C231" s="14"/>
      <c r="D231" s="14" t="s">
        <v>1180</v>
      </c>
      <c r="E231" s="14" t="s">
        <v>1396</v>
      </c>
      <c r="F231" s="14"/>
      <c r="G231" s="14"/>
      <c r="H231" s="14" t="s">
        <v>1278</v>
      </c>
      <c r="I231" s="14" t="s">
        <v>1291</v>
      </c>
      <c r="J231" s="14"/>
      <c r="K231" s="14"/>
      <c r="L231" s="14"/>
      <c r="M231" s="14"/>
      <c r="N231" s="14"/>
      <c r="O231" s="14" t="s">
        <v>1279</v>
      </c>
      <c r="P231" s="14"/>
    </row>
    <row r="232" customFormat="false" ht="15" hidden="false" customHeight="false" outlineLevel="0" collapsed="false">
      <c r="A232" s="14" t="s">
        <v>1631</v>
      </c>
      <c r="B232" s="14" t="s">
        <v>1632</v>
      </c>
      <c r="C232" s="14"/>
      <c r="D232" s="14" t="s">
        <v>1180</v>
      </c>
      <c r="E232" s="14" t="s">
        <v>1396</v>
      </c>
      <c r="F232" s="14"/>
      <c r="G232" s="14"/>
      <c r="H232" s="14" t="s">
        <v>1278</v>
      </c>
      <c r="I232" s="14" t="s">
        <v>1256</v>
      </c>
      <c r="J232" s="14"/>
      <c r="K232" s="14"/>
      <c r="L232" s="14"/>
      <c r="M232" s="14"/>
      <c r="N232" s="14"/>
      <c r="O232" s="14" t="s">
        <v>1279</v>
      </c>
      <c r="P232" s="14"/>
    </row>
    <row r="233" customFormat="false" ht="15" hidden="false" customHeight="false" outlineLevel="0" collapsed="false">
      <c r="A233" s="14" t="s">
        <v>1633</v>
      </c>
      <c r="B233" s="14" t="s">
        <v>1634</v>
      </c>
      <c r="C233" s="14"/>
      <c r="D233" s="14" t="s">
        <v>1180</v>
      </c>
      <c r="E233" s="14" t="s">
        <v>1396</v>
      </c>
      <c r="F233" s="14"/>
      <c r="G233" s="14"/>
      <c r="H233" s="14" t="s">
        <v>1278</v>
      </c>
      <c r="I233" s="14" t="s">
        <v>1256</v>
      </c>
      <c r="J233" s="14"/>
      <c r="K233" s="14"/>
      <c r="L233" s="14"/>
      <c r="M233" s="14"/>
      <c r="N233" s="14"/>
      <c r="O233" s="14" t="s">
        <v>1279</v>
      </c>
      <c r="P233" s="14"/>
    </row>
    <row r="234" customFormat="false" ht="15" hidden="false" customHeight="false" outlineLevel="0" collapsed="false">
      <c r="A234" s="14" t="s">
        <v>1635</v>
      </c>
      <c r="B234" s="14" t="s">
        <v>1636</v>
      </c>
      <c r="C234" s="14"/>
      <c r="D234" s="14" t="s">
        <v>1180</v>
      </c>
      <c r="E234" s="14" t="s">
        <v>1396</v>
      </c>
      <c r="F234" s="14"/>
      <c r="G234" s="14"/>
      <c r="H234" s="14" t="s">
        <v>1278</v>
      </c>
      <c r="I234" s="14" t="s">
        <v>1107</v>
      </c>
      <c r="J234" s="14"/>
      <c r="K234" s="14"/>
      <c r="L234" s="14"/>
      <c r="M234" s="14"/>
      <c r="N234" s="14"/>
      <c r="O234" s="14" t="s">
        <v>1279</v>
      </c>
      <c r="P234" s="14"/>
    </row>
    <row r="235" customFormat="false" ht="15" hidden="false" customHeight="false" outlineLevel="0" collapsed="false">
      <c r="A235" s="14" t="s">
        <v>1637</v>
      </c>
      <c r="B235" s="14" t="s">
        <v>1638</v>
      </c>
      <c r="C235" s="14"/>
      <c r="D235" s="14" t="s">
        <v>1180</v>
      </c>
      <c r="E235" s="14" t="s">
        <v>1396</v>
      </c>
      <c r="F235" s="14"/>
      <c r="G235" s="14"/>
      <c r="H235" s="14" t="s">
        <v>1278</v>
      </c>
      <c r="I235" s="14" t="s">
        <v>1107</v>
      </c>
      <c r="J235" s="14"/>
      <c r="K235" s="14"/>
      <c r="L235" s="14"/>
      <c r="M235" s="14"/>
      <c r="N235" s="14"/>
      <c r="O235" s="14" t="s">
        <v>1279</v>
      </c>
      <c r="P235" s="14"/>
    </row>
    <row r="236" customFormat="false" ht="15" hidden="false" customHeight="false" outlineLevel="0" collapsed="false">
      <c r="A236" s="14" t="s">
        <v>1639</v>
      </c>
      <c r="B236" s="14" t="s">
        <v>1640</v>
      </c>
      <c r="C236" s="14"/>
      <c r="D236" s="14" t="s">
        <v>1180</v>
      </c>
      <c r="E236" s="14" t="s">
        <v>1396</v>
      </c>
      <c r="F236" s="14"/>
      <c r="G236" s="14"/>
      <c r="H236" s="14" t="s">
        <v>1278</v>
      </c>
      <c r="I236" s="14" t="s">
        <v>1256</v>
      </c>
      <c r="J236" s="14"/>
      <c r="K236" s="14"/>
      <c r="L236" s="14"/>
      <c r="M236" s="14"/>
      <c r="N236" s="14"/>
      <c r="O236" s="14" t="s">
        <v>1279</v>
      </c>
      <c r="P236" s="14"/>
    </row>
    <row r="237" customFormat="false" ht="15" hidden="false" customHeight="false" outlineLevel="0" collapsed="false">
      <c r="A237" s="14" t="s">
        <v>1641</v>
      </c>
      <c r="B237" s="14" t="s">
        <v>1642</v>
      </c>
      <c r="C237" s="14"/>
      <c r="D237" s="14" t="s">
        <v>1180</v>
      </c>
      <c r="E237" s="14" t="s">
        <v>1396</v>
      </c>
      <c r="F237" s="14"/>
      <c r="G237" s="14"/>
      <c r="H237" s="14" t="s">
        <v>1278</v>
      </c>
      <c r="I237" s="14" t="s">
        <v>1256</v>
      </c>
      <c r="J237" s="14"/>
      <c r="K237" s="14"/>
      <c r="L237" s="14"/>
      <c r="M237" s="14"/>
      <c r="N237" s="14"/>
      <c r="O237" s="14" t="s">
        <v>1279</v>
      </c>
      <c r="P237" s="14"/>
    </row>
    <row r="238" customFormat="false" ht="15" hidden="false" customHeight="false" outlineLevel="0" collapsed="false">
      <c r="A238" s="14" t="s">
        <v>1643</v>
      </c>
      <c r="B238" s="14" t="s">
        <v>1644</v>
      </c>
      <c r="C238" s="14"/>
      <c r="D238" s="14" t="s">
        <v>1180</v>
      </c>
      <c r="E238" s="14" t="s">
        <v>1396</v>
      </c>
      <c r="F238" s="14"/>
      <c r="G238" s="14"/>
      <c r="H238" s="14" t="s">
        <v>1278</v>
      </c>
      <c r="I238" s="14" t="s">
        <v>1256</v>
      </c>
      <c r="J238" s="14"/>
      <c r="K238" s="14"/>
      <c r="L238" s="14"/>
      <c r="M238" s="14"/>
      <c r="N238" s="14"/>
      <c r="O238" s="14" t="s">
        <v>1279</v>
      </c>
      <c r="P238" s="14"/>
    </row>
    <row r="239" customFormat="false" ht="15" hidden="false" customHeight="false" outlineLevel="0" collapsed="false">
      <c r="A239" s="14" t="s">
        <v>1645</v>
      </c>
      <c r="B239" s="14" t="s">
        <v>1646</v>
      </c>
      <c r="C239" s="14"/>
      <c r="D239" s="14" t="s">
        <v>1180</v>
      </c>
      <c r="E239" s="14" t="s">
        <v>1396</v>
      </c>
      <c r="F239" s="14"/>
      <c r="G239" s="14"/>
      <c r="H239" s="14" t="s">
        <v>1278</v>
      </c>
      <c r="I239" s="14" t="s">
        <v>1256</v>
      </c>
      <c r="J239" s="14"/>
      <c r="K239" s="14"/>
      <c r="L239" s="14"/>
      <c r="M239" s="14"/>
      <c r="N239" s="14"/>
      <c r="O239" s="14" t="s">
        <v>1279</v>
      </c>
      <c r="P239" s="14"/>
    </row>
    <row r="240" customFormat="false" ht="15" hidden="false" customHeight="false" outlineLevel="0" collapsed="false">
      <c r="A240" s="14" t="s">
        <v>1647</v>
      </c>
      <c r="B240" s="14" t="s">
        <v>1648</v>
      </c>
      <c r="C240" s="14"/>
      <c r="D240" s="14" t="s">
        <v>1180</v>
      </c>
      <c r="E240" s="14" t="s">
        <v>1396</v>
      </c>
      <c r="F240" s="14"/>
      <c r="G240" s="14"/>
      <c r="H240" s="14" t="s">
        <v>1278</v>
      </c>
      <c r="I240" s="14" t="s">
        <v>1256</v>
      </c>
      <c r="J240" s="14"/>
      <c r="K240" s="14"/>
      <c r="L240" s="14"/>
      <c r="M240" s="14"/>
      <c r="N240" s="14"/>
      <c r="O240" s="14" t="s">
        <v>1279</v>
      </c>
      <c r="P240" s="14"/>
    </row>
    <row r="241" customFormat="false" ht="15" hidden="false" customHeight="false" outlineLevel="0" collapsed="false">
      <c r="A241" s="14" t="s">
        <v>1649</v>
      </c>
      <c r="B241" s="14" t="s">
        <v>1650</v>
      </c>
      <c r="C241" s="14"/>
      <c r="D241" s="14" t="s">
        <v>1180</v>
      </c>
      <c r="E241" s="14" t="s">
        <v>1396</v>
      </c>
      <c r="F241" s="14"/>
      <c r="G241" s="14"/>
      <c r="H241" s="14" t="s">
        <v>1278</v>
      </c>
      <c r="I241" s="14" t="s">
        <v>1256</v>
      </c>
      <c r="J241" s="14"/>
      <c r="K241" s="14"/>
      <c r="L241" s="14"/>
      <c r="M241" s="14"/>
      <c r="N241" s="14"/>
      <c r="O241" s="14" t="s">
        <v>1279</v>
      </c>
      <c r="P241" s="14"/>
    </row>
    <row r="242" customFormat="false" ht="15" hidden="false" customHeight="false" outlineLevel="0" collapsed="false">
      <c r="A242" s="14" t="s">
        <v>1651</v>
      </c>
      <c r="B242" s="14" t="s">
        <v>1652</v>
      </c>
      <c r="C242" s="14"/>
      <c r="D242" s="14" t="s">
        <v>1180</v>
      </c>
      <c r="E242" s="14" t="s">
        <v>1396</v>
      </c>
      <c r="F242" s="14"/>
      <c r="G242" s="14"/>
      <c r="H242" s="14" t="s">
        <v>1278</v>
      </c>
      <c r="I242" s="14" t="s">
        <v>1256</v>
      </c>
      <c r="J242" s="14"/>
      <c r="K242" s="14"/>
      <c r="L242" s="14"/>
      <c r="M242" s="14"/>
      <c r="N242" s="14"/>
      <c r="O242" s="14" t="s">
        <v>1279</v>
      </c>
      <c r="P242" s="14"/>
    </row>
    <row r="243" customFormat="false" ht="15" hidden="false" customHeight="false" outlineLevel="0" collapsed="false">
      <c r="A243" s="14" t="s">
        <v>1653</v>
      </c>
      <c r="B243" s="14" t="s">
        <v>1654</v>
      </c>
      <c r="C243" s="14" t="s">
        <v>1655</v>
      </c>
      <c r="D243" s="14" t="s">
        <v>1180</v>
      </c>
      <c r="E243" s="14" t="s">
        <v>1396</v>
      </c>
      <c r="F243" s="14" t="s">
        <v>62</v>
      </c>
      <c r="G243" s="14" t="s">
        <v>63</v>
      </c>
      <c r="H243" s="14" t="s">
        <v>1278</v>
      </c>
      <c r="I243" s="14" t="s">
        <v>1256</v>
      </c>
      <c r="J243" s="14"/>
      <c r="K243" s="14"/>
      <c r="L243" s="14"/>
      <c r="M243" s="14"/>
      <c r="N243" s="14"/>
      <c r="O243" s="14" t="s">
        <v>1279</v>
      </c>
      <c r="P243" s="14"/>
    </row>
    <row r="244" customFormat="false" ht="15" hidden="false" customHeight="false" outlineLevel="0" collapsed="false">
      <c r="A244" s="14" t="s">
        <v>1656</v>
      </c>
      <c r="B244" s="14" t="s">
        <v>1657</v>
      </c>
      <c r="C244" s="14"/>
      <c r="D244" s="14" t="s">
        <v>1180</v>
      </c>
      <c r="E244" s="14" t="s">
        <v>1396</v>
      </c>
      <c r="F244" s="14"/>
      <c r="G244" s="14"/>
      <c r="H244" s="14" t="s">
        <v>1278</v>
      </c>
      <c r="I244" s="14" t="s">
        <v>1107</v>
      </c>
      <c r="J244" s="14"/>
      <c r="K244" s="14"/>
      <c r="L244" s="14"/>
      <c r="M244" s="14"/>
      <c r="N244" s="14"/>
      <c r="O244" s="14" t="s">
        <v>1279</v>
      </c>
      <c r="P244" s="14"/>
    </row>
    <row r="245" customFormat="false" ht="15" hidden="false" customHeight="false" outlineLevel="0" collapsed="false">
      <c r="A245" s="14" t="s">
        <v>1658</v>
      </c>
      <c r="B245" s="14" t="s">
        <v>1659</v>
      </c>
      <c r="C245" s="14"/>
      <c r="D245" s="14" t="s">
        <v>1180</v>
      </c>
      <c r="E245" s="14" t="s">
        <v>1396</v>
      </c>
      <c r="F245" s="14"/>
      <c r="G245" s="14"/>
      <c r="H245" s="14" t="s">
        <v>1278</v>
      </c>
      <c r="I245" s="14" t="s">
        <v>1256</v>
      </c>
      <c r="J245" s="14"/>
      <c r="K245" s="14"/>
      <c r="L245" s="14"/>
      <c r="M245" s="14"/>
      <c r="N245" s="14"/>
      <c r="O245" s="14" t="s">
        <v>1279</v>
      </c>
      <c r="P245" s="14"/>
    </row>
    <row r="246" customFormat="false" ht="15" hidden="false" customHeight="false" outlineLevel="0" collapsed="false">
      <c r="A246" s="14" t="s">
        <v>1660</v>
      </c>
      <c r="B246" s="14" t="s">
        <v>1661</v>
      </c>
      <c r="C246" s="14"/>
      <c r="D246" s="14" t="s">
        <v>1180</v>
      </c>
      <c r="E246" s="14" t="s">
        <v>1396</v>
      </c>
      <c r="F246" s="14"/>
      <c r="G246" s="14"/>
      <c r="H246" s="14" t="s">
        <v>1278</v>
      </c>
      <c r="I246" s="14" t="s">
        <v>1256</v>
      </c>
      <c r="J246" s="14"/>
      <c r="K246" s="14"/>
      <c r="L246" s="14"/>
      <c r="M246" s="14"/>
      <c r="N246" s="14"/>
      <c r="O246" s="14" t="s">
        <v>1279</v>
      </c>
      <c r="P246" s="14"/>
    </row>
    <row r="247" customFormat="false" ht="15" hidden="false" customHeight="false" outlineLevel="0" collapsed="false">
      <c r="A247" s="14" t="s">
        <v>1662</v>
      </c>
      <c r="B247" s="14" t="s">
        <v>1663</v>
      </c>
      <c r="C247" s="14"/>
      <c r="D247" s="14" t="s">
        <v>1180</v>
      </c>
      <c r="E247" s="14" t="s">
        <v>1396</v>
      </c>
      <c r="F247" s="14"/>
      <c r="G247" s="14"/>
      <c r="H247" s="14" t="s">
        <v>1278</v>
      </c>
      <c r="I247" s="14" t="s">
        <v>1256</v>
      </c>
      <c r="J247" s="14"/>
      <c r="K247" s="14"/>
      <c r="L247" s="14"/>
      <c r="M247" s="14"/>
      <c r="N247" s="14"/>
      <c r="O247" s="14" t="s">
        <v>1279</v>
      </c>
      <c r="P247" s="14"/>
    </row>
    <row r="248" customFormat="false" ht="15" hidden="false" customHeight="false" outlineLevel="0" collapsed="false">
      <c r="A248" s="14" t="s">
        <v>1664</v>
      </c>
      <c r="B248" s="14" t="s">
        <v>1665</v>
      </c>
      <c r="C248" s="14"/>
      <c r="D248" s="14" t="s">
        <v>1180</v>
      </c>
      <c r="E248" s="14" t="s">
        <v>1396</v>
      </c>
      <c r="F248" s="14"/>
      <c r="G248" s="14"/>
      <c r="H248" s="14" t="s">
        <v>1278</v>
      </c>
      <c r="I248" s="14" t="s">
        <v>1256</v>
      </c>
      <c r="J248" s="14"/>
      <c r="K248" s="14"/>
      <c r="L248" s="14"/>
      <c r="M248" s="14"/>
      <c r="N248" s="14"/>
      <c r="O248" s="14" t="s">
        <v>1279</v>
      </c>
      <c r="P248" s="14"/>
    </row>
    <row r="249" customFormat="false" ht="15" hidden="false" customHeight="false" outlineLevel="0" collapsed="false">
      <c r="A249" s="14" t="s">
        <v>1666</v>
      </c>
      <c r="B249" s="14" t="s">
        <v>1667</v>
      </c>
      <c r="C249" s="14"/>
      <c r="D249" s="14" t="s">
        <v>1180</v>
      </c>
      <c r="E249" s="14" t="s">
        <v>1396</v>
      </c>
      <c r="F249" s="14"/>
      <c r="G249" s="14"/>
      <c r="H249" s="14" t="s">
        <v>1278</v>
      </c>
      <c r="I249" s="14" t="s">
        <v>1291</v>
      </c>
      <c r="J249" s="14"/>
      <c r="K249" s="14"/>
      <c r="L249" s="14"/>
      <c r="M249" s="14"/>
      <c r="N249" s="14"/>
      <c r="O249" s="14" t="s">
        <v>1279</v>
      </c>
      <c r="P249" s="14"/>
    </row>
    <row r="250" customFormat="false" ht="15" hidden="false" customHeight="false" outlineLevel="0" collapsed="false">
      <c r="A250" s="14" t="s">
        <v>1668</v>
      </c>
      <c r="B250" s="14" t="s">
        <v>1669</v>
      </c>
      <c r="C250" s="14"/>
      <c r="D250" s="14" t="s">
        <v>1180</v>
      </c>
      <c r="E250" s="14" t="s">
        <v>1396</v>
      </c>
      <c r="F250" s="14"/>
      <c r="G250" s="14"/>
      <c r="H250" s="14" t="s">
        <v>1278</v>
      </c>
      <c r="I250" s="14" t="s">
        <v>1256</v>
      </c>
      <c r="J250" s="14"/>
      <c r="K250" s="14"/>
      <c r="L250" s="14"/>
      <c r="M250" s="14"/>
      <c r="N250" s="14"/>
      <c r="O250" s="14" t="s">
        <v>1279</v>
      </c>
      <c r="P250" s="14"/>
    </row>
    <row r="251" customFormat="false" ht="15" hidden="false" customHeight="false" outlineLevel="0" collapsed="false">
      <c r="A251" s="14" t="s">
        <v>1670</v>
      </c>
      <c r="B251" s="14" t="s">
        <v>1671</v>
      </c>
      <c r="C251" s="14"/>
      <c r="D251" s="14" t="s">
        <v>1180</v>
      </c>
      <c r="E251" s="14" t="s">
        <v>1396</v>
      </c>
      <c r="F251" s="14"/>
      <c r="G251" s="14"/>
      <c r="H251" s="14" t="s">
        <v>1278</v>
      </c>
      <c r="I251" s="14" t="s">
        <v>1256</v>
      </c>
      <c r="J251" s="14"/>
      <c r="K251" s="14"/>
      <c r="L251" s="14"/>
      <c r="M251" s="14"/>
      <c r="N251" s="14"/>
      <c r="O251" s="14" t="s">
        <v>1279</v>
      </c>
      <c r="P251" s="14"/>
    </row>
    <row r="252" customFormat="false" ht="15" hidden="false" customHeight="false" outlineLevel="0" collapsed="false">
      <c r="A252" s="14" t="s">
        <v>1672</v>
      </c>
      <c r="B252" s="14" t="s">
        <v>1673</v>
      </c>
      <c r="C252" s="14"/>
      <c r="D252" s="14" t="s">
        <v>1180</v>
      </c>
      <c r="E252" s="14" t="s">
        <v>1396</v>
      </c>
      <c r="F252" s="14"/>
      <c r="G252" s="14"/>
      <c r="H252" s="14" t="s">
        <v>1278</v>
      </c>
      <c r="I252" s="14" t="s">
        <v>1256</v>
      </c>
      <c r="J252" s="14"/>
      <c r="K252" s="14"/>
      <c r="L252" s="14"/>
      <c r="M252" s="14"/>
      <c r="N252" s="14"/>
      <c r="O252" s="14" t="s">
        <v>1279</v>
      </c>
      <c r="P252" s="14"/>
    </row>
    <row r="253" customFormat="false" ht="15" hidden="false" customHeight="false" outlineLevel="0" collapsed="false">
      <c r="A253" s="14" t="s">
        <v>1674</v>
      </c>
      <c r="B253" s="14" t="s">
        <v>1675</v>
      </c>
      <c r="C253" s="14"/>
      <c r="D253" s="14" t="s">
        <v>1180</v>
      </c>
      <c r="E253" s="14" t="s">
        <v>1396</v>
      </c>
      <c r="F253" s="14"/>
      <c r="G253" s="14"/>
      <c r="H253" s="14" t="s">
        <v>1278</v>
      </c>
      <c r="I253" s="14" t="s">
        <v>1256</v>
      </c>
      <c r="J253" s="14"/>
      <c r="K253" s="14"/>
      <c r="L253" s="14"/>
      <c r="M253" s="14"/>
      <c r="N253" s="14"/>
      <c r="O253" s="14" t="s">
        <v>1279</v>
      </c>
      <c r="P253" s="14"/>
    </row>
    <row r="254" customFormat="false" ht="15" hidden="false" customHeight="false" outlineLevel="0" collapsed="false">
      <c r="A254" s="14" t="s">
        <v>1676</v>
      </c>
      <c r="B254" s="14" t="s">
        <v>1677</v>
      </c>
      <c r="C254" s="14"/>
      <c r="D254" s="14" t="s">
        <v>1180</v>
      </c>
      <c r="E254" s="14" t="s">
        <v>1396</v>
      </c>
      <c r="F254" s="14"/>
      <c r="G254" s="14"/>
      <c r="H254" s="14" t="s">
        <v>1278</v>
      </c>
      <c r="I254" s="14" t="s">
        <v>1256</v>
      </c>
      <c r="J254" s="14"/>
      <c r="K254" s="14"/>
      <c r="L254" s="14"/>
      <c r="M254" s="14"/>
      <c r="N254" s="14"/>
      <c r="O254" s="14" t="s">
        <v>1279</v>
      </c>
      <c r="P254" s="14"/>
    </row>
    <row r="255" customFormat="false" ht="15" hidden="false" customHeight="false" outlineLevel="0" collapsed="false">
      <c r="A255" s="14" t="s">
        <v>1678</v>
      </c>
      <c r="B255" s="14" t="s">
        <v>1679</v>
      </c>
      <c r="C255" s="14"/>
      <c r="D255" s="14" t="s">
        <v>1180</v>
      </c>
      <c r="E255" s="14" t="s">
        <v>1396</v>
      </c>
      <c r="F255" s="14"/>
      <c r="G255" s="14"/>
      <c r="H255" s="14" t="s">
        <v>1278</v>
      </c>
      <c r="I255" s="14" t="s">
        <v>1256</v>
      </c>
      <c r="J255" s="14"/>
      <c r="K255" s="14"/>
      <c r="L255" s="14"/>
      <c r="M255" s="14"/>
      <c r="N255" s="14"/>
      <c r="O255" s="14" t="s">
        <v>1279</v>
      </c>
      <c r="P255" s="14"/>
    </row>
    <row r="256" customFormat="false" ht="15" hidden="false" customHeight="false" outlineLevel="0" collapsed="false">
      <c r="A256" s="14" t="s">
        <v>1680</v>
      </c>
      <c r="B256" s="14" t="s">
        <v>1681</v>
      </c>
      <c r="C256" s="14"/>
      <c r="D256" s="14" t="s">
        <v>1180</v>
      </c>
      <c r="E256" s="14" t="s">
        <v>1396</v>
      </c>
      <c r="F256" s="14"/>
      <c r="G256" s="14"/>
      <c r="H256" s="14" t="s">
        <v>1278</v>
      </c>
      <c r="I256" s="14" t="s">
        <v>1256</v>
      </c>
      <c r="J256" s="14"/>
      <c r="K256" s="14"/>
      <c r="L256" s="14"/>
      <c r="M256" s="14"/>
      <c r="N256" s="14"/>
      <c r="O256" s="14" t="s">
        <v>1279</v>
      </c>
      <c r="P256" s="14"/>
    </row>
    <row r="257" customFormat="false" ht="15" hidden="false" customHeight="false" outlineLevel="0" collapsed="false">
      <c r="A257" s="14" t="s">
        <v>1682</v>
      </c>
      <c r="B257" s="14" t="s">
        <v>1683</v>
      </c>
      <c r="C257" s="14"/>
      <c r="D257" s="14" t="s">
        <v>1180</v>
      </c>
      <c r="E257" s="14" t="s">
        <v>1396</v>
      </c>
      <c r="F257" s="14"/>
      <c r="G257" s="14"/>
      <c r="H257" s="14" t="s">
        <v>1278</v>
      </c>
      <c r="I257" s="14" t="s">
        <v>1256</v>
      </c>
      <c r="J257" s="14"/>
      <c r="K257" s="14"/>
      <c r="L257" s="14"/>
      <c r="M257" s="14"/>
      <c r="N257" s="14"/>
      <c r="O257" s="14" t="s">
        <v>1279</v>
      </c>
      <c r="P257" s="14"/>
    </row>
    <row r="258" customFormat="false" ht="15" hidden="false" customHeight="false" outlineLevel="0" collapsed="false">
      <c r="A258" s="14" t="s">
        <v>1684</v>
      </c>
      <c r="B258" s="14" t="s">
        <v>1685</v>
      </c>
      <c r="C258" s="14"/>
      <c r="D258" s="14" t="s">
        <v>1180</v>
      </c>
      <c r="E258" s="14" t="s">
        <v>1396</v>
      </c>
      <c r="F258" s="14"/>
      <c r="G258" s="14"/>
      <c r="H258" s="14" t="s">
        <v>1278</v>
      </c>
      <c r="I258" s="14" t="s">
        <v>1256</v>
      </c>
      <c r="J258" s="14"/>
      <c r="K258" s="14"/>
      <c r="L258" s="14"/>
      <c r="M258" s="14"/>
      <c r="N258" s="14"/>
      <c r="O258" s="14" t="s">
        <v>1279</v>
      </c>
      <c r="P258" s="14"/>
    </row>
    <row r="259" customFormat="false" ht="22.35" hidden="false" customHeight="false" outlineLevel="0" collapsed="false">
      <c r="A259" s="14" t="s">
        <v>1686</v>
      </c>
      <c r="B259" s="14" t="s">
        <v>1687</v>
      </c>
      <c r="C259" s="14" t="s">
        <v>468</v>
      </c>
      <c r="D259" s="14" t="s">
        <v>1180</v>
      </c>
      <c r="E259" s="14" t="s">
        <v>1396</v>
      </c>
      <c r="F259" s="14" t="s">
        <v>1688</v>
      </c>
      <c r="G259" s="14" t="s">
        <v>77</v>
      </c>
      <c r="H259" s="14" t="s">
        <v>1278</v>
      </c>
      <c r="I259" s="14" t="s">
        <v>1256</v>
      </c>
      <c r="J259" s="14"/>
      <c r="K259" s="14"/>
      <c r="L259" s="14"/>
      <c r="M259" s="14"/>
      <c r="N259" s="14"/>
      <c r="O259" s="14" t="s">
        <v>1279</v>
      </c>
      <c r="P259" s="14"/>
    </row>
    <row r="260" customFormat="false" ht="15" hidden="false" customHeight="false" outlineLevel="0" collapsed="false">
      <c r="A260" s="14" t="s">
        <v>1689</v>
      </c>
      <c r="B260" s="14" t="s">
        <v>1690</v>
      </c>
      <c r="C260" s="14"/>
      <c r="D260" s="14" t="s">
        <v>1180</v>
      </c>
      <c r="E260" s="14" t="s">
        <v>1396</v>
      </c>
      <c r="F260" s="14"/>
      <c r="G260" s="14"/>
      <c r="H260" s="14" t="s">
        <v>1278</v>
      </c>
      <c r="I260" s="14" t="s">
        <v>1256</v>
      </c>
      <c r="J260" s="14"/>
      <c r="K260" s="14"/>
      <c r="L260" s="14"/>
      <c r="M260" s="14"/>
      <c r="N260" s="14"/>
      <c r="O260" s="14" t="s">
        <v>1279</v>
      </c>
      <c r="P260" s="14"/>
    </row>
    <row r="261" customFormat="false" ht="15" hidden="false" customHeight="false" outlineLevel="0" collapsed="false">
      <c r="A261" s="14" t="s">
        <v>1691</v>
      </c>
      <c r="B261" s="14" t="s">
        <v>1692</v>
      </c>
      <c r="C261" s="14" t="s">
        <v>1693</v>
      </c>
      <c r="D261" s="14" t="s">
        <v>1180</v>
      </c>
      <c r="E261" s="14" t="s">
        <v>1396</v>
      </c>
      <c r="F261" s="14" t="s">
        <v>215</v>
      </c>
      <c r="G261" s="14" t="s">
        <v>77</v>
      </c>
      <c r="H261" s="14" t="s">
        <v>1278</v>
      </c>
      <c r="I261" s="14" t="s">
        <v>1256</v>
      </c>
      <c r="J261" s="14"/>
      <c r="K261" s="14"/>
      <c r="L261" s="14"/>
      <c r="M261" s="14"/>
      <c r="N261" s="14"/>
      <c r="O261" s="14" t="s">
        <v>1279</v>
      </c>
      <c r="P261" s="14"/>
    </row>
    <row r="262" customFormat="false" ht="15" hidden="false" customHeight="false" outlineLevel="0" collapsed="false">
      <c r="A262" s="14" t="s">
        <v>1694</v>
      </c>
      <c r="B262" s="14" t="s">
        <v>1695</v>
      </c>
      <c r="C262" s="14"/>
      <c r="D262" s="14" t="s">
        <v>1180</v>
      </c>
      <c r="E262" s="14" t="s">
        <v>1396</v>
      </c>
      <c r="F262" s="14"/>
      <c r="G262" s="14"/>
      <c r="H262" s="14" t="s">
        <v>1278</v>
      </c>
      <c r="I262" s="14" t="s">
        <v>1256</v>
      </c>
      <c r="J262" s="14"/>
      <c r="K262" s="14"/>
      <c r="L262" s="14"/>
      <c r="M262" s="14"/>
      <c r="N262" s="14"/>
      <c r="O262" s="14" t="s">
        <v>1279</v>
      </c>
      <c r="P262" s="14"/>
    </row>
    <row r="263" customFormat="false" ht="15" hidden="false" customHeight="false" outlineLevel="0" collapsed="false">
      <c r="A263" s="14" t="s">
        <v>1696</v>
      </c>
      <c r="B263" s="14" t="s">
        <v>1697</v>
      </c>
      <c r="C263" s="14"/>
      <c r="D263" s="14" t="s">
        <v>1180</v>
      </c>
      <c r="E263" s="14" t="s">
        <v>1396</v>
      </c>
      <c r="F263" s="14"/>
      <c r="G263" s="14"/>
      <c r="H263" s="14" t="s">
        <v>1278</v>
      </c>
      <c r="I263" s="14" t="s">
        <v>1256</v>
      </c>
      <c r="J263" s="14"/>
      <c r="K263" s="14"/>
      <c r="L263" s="14"/>
      <c r="M263" s="14"/>
      <c r="N263" s="14"/>
      <c r="O263" s="14" t="s">
        <v>1279</v>
      </c>
      <c r="P263" s="14"/>
    </row>
    <row r="264" customFormat="false" ht="15" hidden="false" customHeight="false" outlineLevel="0" collapsed="false">
      <c r="A264" s="14" t="s">
        <v>1698</v>
      </c>
      <c r="B264" s="14" t="s">
        <v>1699</v>
      </c>
      <c r="C264" s="14"/>
      <c r="D264" s="14" t="s">
        <v>1180</v>
      </c>
      <c r="E264" s="14" t="s">
        <v>1396</v>
      </c>
      <c r="F264" s="14"/>
      <c r="G264" s="14"/>
      <c r="H264" s="14" t="s">
        <v>1278</v>
      </c>
      <c r="I264" s="14" t="s">
        <v>1256</v>
      </c>
      <c r="J264" s="14"/>
      <c r="K264" s="14"/>
      <c r="L264" s="14"/>
      <c r="M264" s="14"/>
      <c r="N264" s="14"/>
      <c r="O264" s="14" t="s">
        <v>1279</v>
      </c>
      <c r="P264" s="14"/>
    </row>
    <row r="265" customFormat="false" ht="15" hidden="false" customHeight="false" outlineLevel="0" collapsed="false">
      <c r="A265" s="14" t="s">
        <v>1700</v>
      </c>
      <c r="B265" s="14" t="s">
        <v>1701</v>
      </c>
      <c r="C265" s="14"/>
      <c r="D265" s="14" t="s">
        <v>1180</v>
      </c>
      <c r="E265" s="14" t="s">
        <v>1396</v>
      </c>
      <c r="F265" s="14"/>
      <c r="G265" s="14"/>
      <c r="H265" s="14" t="s">
        <v>1278</v>
      </c>
      <c r="I265" s="14" t="s">
        <v>1107</v>
      </c>
      <c r="J265" s="14"/>
      <c r="K265" s="14"/>
      <c r="L265" s="14"/>
      <c r="M265" s="14"/>
      <c r="N265" s="14"/>
      <c r="O265" s="14" t="s">
        <v>1279</v>
      </c>
      <c r="P265" s="14"/>
    </row>
    <row r="266" customFormat="false" ht="15" hidden="false" customHeight="false" outlineLevel="0" collapsed="false">
      <c r="A266" s="14" t="s">
        <v>1702</v>
      </c>
      <c r="B266" s="14" t="s">
        <v>1703</v>
      </c>
      <c r="C266" s="14"/>
      <c r="D266" s="14" t="s">
        <v>1180</v>
      </c>
      <c r="E266" s="14" t="s">
        <v>1396</v>
      </c>
      <c r="F266" s="14"/>
      <c r="G266" s="14"/>
      <c r="H266" s="14" t="s">
        <v>1278</v>
      </c>
      <c r="I266" s="14" t="s">
        <v>1107</v>
      </c>
      <c r="J266" s="14"/>
      <c r="K266" s="14"/>
      <c r="L266" s="14"/>
      <c r="M266" s="14"/>
      <c r="N266" s="14"/>
      <c r="O266" s="14" t="s">
        <v>1279</v>
      </c>
      <c r="P266" s="14"/>
    </row>
    <row r="267" customFormat="false" ht="15" hidden="false" customHeight="false" outlineLevel="0" collapsed="false">
      <c r="A267" s="14" t="s">
        <v>1704</v>
      </c>
      <c r="B267" s="14" t="s">
        <v>1705</v>
      </c>
      <c r="C267" s="14"/>
      <c r="D267" s="14" t="s">
        <v>1180</v>
      </c>
      <c r="E267" s="14" t="s">
        <v>1396</v>
      </c>
      <c r="F267" s="14"/>
      <c r="G267" s="14"/>
      <c r="H267" s="14" t="s">
        <v>1278</v>
      </c>
      <c r="I267" s="14" t="s">
        <v>1256</v>
      </c>
      <c r="J267" s="14"/>
      <c r="K267" s="14"/>
      <c r="L267" s="14"/>
      <c r="M267" s="14"/>
      <c r="N267" s="14"/>
      <c r="O267" s="14" t="s">
        <v>1279</v>
      </c>
      <c r="P267" s="14"/>
    </row>
    <row r="268" customFormat="false" ht="15" hidden="false" customHeight="false" outlineLevel="0" collapsed="false">
      <c r="A268" s="14" t="s">
        <v>1706</v>
      </c>
      <c r="B268" s="14" t="s">
        <v>1707</v>
      </c>
      <c r="C268" s="14"/>
      <c r="D268" s="14" t="s">
        <v>1180</v>
      </c>
      <c r="E268" s="14" t="s">
        <v>1396</v>
      </c>
      <c r="F268" s="14"/>
      <c r="G268" s="14"/>
      <c r="H268" s="14" t="s">
        <v>1278</v>
      </c>
      <c r="I268" s="14" t="s">
        <v>1256</v>
      </c>
      <c r="J268" s="14"/>
      <c r="K268" s="14"/>
      <c r="L268" s="14"/>
      <c r="M268" s="14"/>
      <c r="N268" s="14"/>
      <c r="O268" s="14" t="s">
        <v>1279</v>
      </c>
      <c r="P268" s="14"/>
    </row>
    <row r="269" customFormat="false" ht="15" hidden="false" customHeight="false" outlineLevel="0" collapsed="false">
      <c r="A269" s="14" t="s">
        <v>1708</v>
      </c>
      <c r="B269" s="14" t="s">
        <v>1709</v>
      </c>
      <c r="C269" s="14"/>
      <c r="D269" s="14" t="s">
        <v>1180</v>
      </c>
      <c r="E269" s="14" t="s">
        <v>1396</v>
      </c>
      <c r="F269" s="14"/>
      <c r="G269" s="14"/>
      <c r="H269" s="14" t="s">
        <v>1278</v>
      </c>
      <c r="I269" s="14" t="s">
        <v>1256</v>
      </c>
      <c r="J269" s="14"/>
      <c r="K269" s="14"/>
      <c r="L269" s="14"/>
      <c r="M269" s="14"/>
      <c r="N269" s="14"/>
      <c r="O269" s="14" t="s">
        <v>1279</v>
      </c>
      <c r="P269" s="14"/>
    </row>
    <row r="270" customFormat="false" ht="15" hidden="false" customHeight="false" outlineLevel="0" collapsed="false">
      <c r="A270" s="14" t="s">
        <v>1710</v>
      </c>
      <c r="B270" s="14" t="s">
        <v>1711</v>
      </c>
      <c r="C270" s="14"/>
      <c r="D270" s="14" t="s">
        <v>1180</v>
      </c>
      <c r="E270" s="14" t="s">
        <v>1396</v>
      </c>
      <c r="F270" s="14"/>
      <c r="G270" s="14"/>
      <c r="H270" s="14" t="s">
        <v>1278</v>
      </c>
      <c r="I270" s="14" t="s">
        <v>1256</v>
      </c>
      <c r="J270" s="14"/>
      <c r="K270" s="14"/>
      <c r="L270" s="14"/>
      <c r="M270" s="14"/>
      <c r="N270" s="14"/>
      <c r="O270" s="14" t="s">
        <v>1279</v>
      </c>
      <c r="P270" s="14"/>
    </row>
    <row r="271" customFormat="false" ht="15" hidden="false" customHeight="false" outlineLevel="0" collapsed="false">
      <c r="A271" s="14" t="s">
        <v>1712</v>
      </c>
      <c r="B271" s="14" t="s">
        <v>1713</v>
      </c>
      <c r="C271" s="14"/>
      <c r="D271" s="14" t="s">
        <v>1180</v>
      </c>
      <c r="E271" s="14" t="s">
        <v>1396</v>
      </c>
      <c r="F271" s="14"/>
      <c r="G271" s="14"/>
      <c r="H271" s="14" t="s">
        <v>1278</v>
      </c>
      <c r="I271" s="14" t="s">
        <v>1256</v>
      </c>
      <c r="J271" s="14"/>
      <c r="K271" s="14"/>
      <c r="L271" s="14"/>
      <c r="M271" s="14"/>
      <c r="N271" s="14"/>
      <c r="O271" s="14" t="s">
        <v>1279</v>
      </c>
      <c r="P271" s="14"/>
    </row>
    <row r="272" customFormat="false" ht="15" hidden="false" customHeight="false" outlineLevel="0" collapsed="false">
      <c r="A272" s="14" t="s">
        <v>1714</v>
      </c>
      <c r="B272" s="14" t="s">
        <v>1715</v>
      </c>
      <c r="C272" s="14"/>
      <c r="D272" s="14" t="s">
        <v>1180</v>
      </c>
      <c r="E272" s="14" t="s">
        <v>1396</v>
      </c>
      <c r="F272" s="14"/>
      <c r="G272" s="14"/>
      <c r="H272" s="14" t="s">
        <v>1278</v>
      </c>
      <c r="I272" s="14" t="s">
        <v>1256</v>
      </c>
      <c r="J272" s="14"/>
      <c r="K272" s="14"/>
      <c r="L272" s="14"/>
      <c r="M272" s="14"/>
      <c r="N272" s="14"/>
      <c r="O272" s="14" t="s">
        <v>1279</v>
      </c>
      <c r="P272" s="14"/>
    </row>
    <row r="273" customFormat="false" ht="15" hidden="false" customHeight="false" outlineLevel="0" collapsed="false">
      <c r="A273" s="14" t="s">
        <v>1716</v>
      </c>
      <c r="B273" s="14" t="s">
        <v>1717</v>
      </c>
      <c r="C273" s="14"/>
      <c r="D273" s="14" t="s">
        <v>1180</v>
      </c>
      <c r="E273" s="14" t="s">
        <v>1396</v>
      </c>
      <c r="F273" s="14"/>
      <c r="G273" s="14"/>
      <c r="H273" s="14" t="s">
        <v>1278</v>
      </c>
      <c r="I273" s="14" t="s">
        <v>1256</v>
      </c>
      <c r="J273" s="14"/>
      <c r="K273" s="14"/>
      <c r="L273" s="14"/>
      <c r="M273" s="14"/>
      <c r="N273" s="14"/>
      <c r="O273" s="14" t="s">
        <v>1279</v>
      </c>
      <c r="P273" s="14"/>
    </row>
    <row r="274" customFormat="false" ht="15" hidden="false" customHeight="false" outlineLevel="0" collapsed="false">
      <c r="A274" s="14" t="s">
        <v>1718</v>
      </c>
      <c r="B274" s="14" t="s">
        <v>1719</v>
      </c>
      <c r="C274" s="14"/>
      <c r="D274" s="14" t="s">
        <v>1180</v>
      </c>
      <c r="E274" s="14" t="s">
        <v>1396</v>
      </c>
      <c r="F274" s="14"/>
      <c r="G274" s="14"/>
      <c r="H274" s="14" t="s">
        <v>1278</v>
      </c>
      <c r="I274" s="14" t="s">
        <v>1256</v>
      </c>
      <c r="J274" s="14"/>
      <c r="K274" s="14"/>
      <c r="L274" s="14"/>
      <c r="M274" s="14"/>
      <c r="N274" s="14"/>
      <c r="O274" s="14" t="s">
        <v>1279</v>
      </c>
      <c r="P274" s="14"/>
    </row>
    <row r="275" customFormat="false" ht="15" hidden="false" customHeight="false" outlineLevel="0" collapsed="false">
      <c r="A275" s="14" t="s">
        <v>1720</v>
      </c>
      <c r="B275" s="14" t="s">
        <v>1721</v>
      </c>
      <c r="C275" s="14"/>
      <c r="D275" s="14" t="s">
        <v>1180</v>
      </c>
      <c r="E275" s="14" t="s">
        <v>1396</v>
      </c>
      <c r="F275" s="14"/>
      <c r="G275" s="14"/>
      <c r="H275" s="14" t="s">
        <v>1278</v>
      </c>
      <c r="I275" s="14" t="s">
        <v>1256</v>
      </c>
      <c r="J275" s="14"/>
      <c r="K275" s="14"/>
      <c r="L275" s="14"/>
      <c r="M275" s="14"/>
      <c r="N275" s="14"/>
      <c r="O275" s="14" t="s">
        <v>1279</v>
      </c>
      <c r="P275" s="14"/>
    </row>
    <row r="276" customFormat="false" ht="15" hidden="false" customHeight="false" outlineLevel="0" collapsed="false">
      <c r="A276" s="14" t="s">
        <v>1722</v>
      </c>
      <c r="B276" s="14" t="s">
        <v>1723</v>
      </c>
      <c r="C276" s="14"/>
      <c r="D276" s="14" t="s">
        <v>1180</v>
      </c>
      <c r="E276" s="14" t="s">
        <v>1396</v>
      </c>
      <c r="F276" s="14"/>
      <c r="G276" s="14"/>
      <c r="H276" s="14" t="s">
        <v>1278</v>
      </c>
      <c r="I276" s="14" t="s">
        <v>1256</v>
      </c>
      <c r="J276" s="14"/>
      <c r="K276" s="14"/>
      <c r="L276" s="14"/>
      <c r="M276" s="14"/>
      <c r="N276" s="14"/>
      <c r="O276" s="14" t="s">
        <v>1279</v>
      </c>
      <c r="P276" s="14"/>
    </row>
    <row r="277" customFormat="false" ht="15" hidden="false" customHeight="false" outlineLevel="0" collapsed="false">
      <c r="A277" s="14" t="s">
        <v>1724</v>
      </c>
      <c r="B277" s="14" t="s">
        <v>1725</v>
      </c>
      <c r="C277" s="14"/>
      <c r="D277" s="14" t="s">
        <v>1180</v>
      </c>
      <c r="E277" s="14" t="s">
        <v>1396</v>
      </c>
      <c r="F277" s="14"/>
      <c r="G277" s="14"/>
      <c r="H277" s="14" t="s">
        <v>1278</v>
      </c>
      <c r="I277" s="14" t="s">
        <v>1256</v>
      </c>
      <c r="J277" s="14"/>
      <c r="K277" s="14"/>
      <c r="L277" s="14"/>
      <c r="M277" s="14"/>
      <c r="N277" s="14"/>
      <c r="O277" s="14" t="s">
        <v>1279</v>
      </c>
      <c r="P277" s="14"/>
    </row>
    <row r="278" customFormat="false" ht="15" hidden="false" customHeight="false" outlineLevel="0" collapsed="false">
      <c r="A278" s="14" t="s">
        <v>1726</v>
      </c>
      <c r="B278" s="14" t="s">
        <v>1727</v>
      </c>
      <c r="C278" s="14"/>
      <c r="D278" s="14" t="s">
        <v>1180</v>
      </c>
      <c r="E278" s="14" t="s">
        <v>1396</v>
      </c>
      <c r="F278" s="14"/>
      <c r="G278" s="14"/>
      <c r="H278" s="14" t="s">
        <v>1278</v>
      </c>
      <c r="I278" s="14" t="s">
        <v>1256</v>
      </c>
      <c r="J278" s="14"/>
      <c r="K278" s="14"/>
      <c r="L278" s="14"/>
      <c r="M278" s="14"/>
      <c r="N278" s="14"/>
      <c r="O278" s="14" t="s">
        <v>1279</v>
      </c>
      <c r="P278" s="14"/>
    </row>
    <row r="279" customFormat="false" ht="15" hidden="false" customHeight="false" outlineLevel="0" collapsed="false">
      <c r="A279" s="14" t="s">
        <v>1728</v>
      </c>
      <c r="B279" s="14" t="s">
        <v>1729</v>
      </c>
      <c r="C279" s="14"/>
      <c r="D279" s="14" t="s">
        <v>1180</v>
      </c>
      <c r="E279" s="14" t="s">
        <v>1396</v>
      </c>
      <c r="F279" s="14"/>
      <c r="G279" s="14"/>
      <c r="H279" s="14" t="s">
        <v>1278</v>
      </c>
      <c r="I279" s="14" t="s">
        <v>1256</v>
      </c>
      <c r="J279" s="14"/>
      <c r="K279" s="14"/>
      <c r="L279" s="14"/>
      <c r="M279" s="14"/>
      <c r="N279" s="14"/>
      <c r="O279" s="14" t="s">
        <v>1279</v>
      </c>
      <c r="P279" s="14"/>
    </row>
    <row r="280" customFormat="false" ht="15" hidden="false" customHeight="false" outlineLevel="0" collapsed="false">
      <c r="A280" s="14" t="s">
        <v>1730</v>
      </c>
      <c r="B280" s="14" t="s">
        <v>1731</v>
      </c>
      <c r="C280" s="14"/>
      <c r="D280" s="14" t="s">
        <v>1180</v>
      </c>
      <c r="E280" s="14" t="s">
        <v>1396</v>
      </c>
      <c r="F280" s="14"/>
      <c r="G280" s="14"/>
      <c r="H280" s="14" t="s">
        <v>1278</v>
      </c>
      <c r="I280" s="14" t="s">
        <v>1256</v>
      </c>
      <c r="J280" s="14"/>
      <c r="K280" s="14"/>
      <c r="L280" s="14"/>
      <c r="M280" s="14"/>
      <c r="N280" s="14"/>
      <c r="O280" s="14" t="s">
        <v>1279</v>
      </c>
      <c r="P280" s="14"/>
    </row>
    <row r="281" customFormat="false" ht="15" hidden="false" customHeight="false" outlineLevel="0" collapsed="false">
      <c r="A281" s="14" t="s">
        <v>1732</v>
      </c>
      <c r="B281" s="14" t="s">
        <v>1733</v>
      </c>
      <c r="C281" s="14"/>
      <c r="D281" s="14" t="s">
        <v>1180</v>
      </c>
      <c r="E281" s="14" t="s">
        <v>1396</v>
      </c>
      <c r="F281" s="14"/>
      <c r="G281" s="14"/>
      <c r="H281" s="14" t="s">
        <v>1278</v>
      </c>
      <c r="I281" s="14" t="s">
        <v>1256</v>
      </c>
      <c r="J281" s="14"/>
      <c r="K281" s="14"/>
      <c r="L281" s="14"/>
      <c r="M281" s="14"/>
      <c r="N281" s="14"/>
      <c r="O281" s="14" t="s">
        <v>1279</v>
      </c>
      <c r="P281" s="14"/>
    </row>
    <row r="282" customFormat="false" ht="15" hidden="false" customHeight="false" outlineLevel="0" collapsed="false">
      <c r="A282" s="14" t="s">
        <v>1734</v>
      </c>
      <c r="B282" s="14" t="s">
        <v>1735</v>
      </c>
      <c r="C282" s="14"/>
      <c r="D282" s="14" t="s">
        <v>1180</v>
      </c>
      <c r="E282" s="14" t="s">
        <v>1396</v>
      </c>
      <c r="F282" s="14"/>
      <c r="G282" s="14"/>
      <c r="H282" s="14" t="s">
        <v>1278</v>
      </c>
      <c r="I282" s="14" t="s">
        <v>1256</v>
      </c>
      <c r="J282" s="14"/>
      <c r="K282" s="14"/>
      <c r="L282" s="14"/>
      <c r="M282" s="14"/>
      <c r="N282" s="14"/>
      <c r="O282" s="14" t="s">
        <v>1279</v>
      </c>
      <c r="P282" s="14"/>
    </row>
    <row r="283" customFormat="false" ht="15" hidden="false" customHeight="false" outlineLevel="0" collapsed="false">
      <c r="A283" s="14" t="s">
        <v>1736</v>
      </c>
      <c r="B283" s="14" t="s">
        <v>1737</v>
      </c>
      <c r="C283" s="14"/>
      <c r="D283" s="14" t="s">
        <v>1180</v>
      </c>
      <c r="E283" s="14" t="s">
        <v>1396</v>
      </c>
      <c r="F283" s="14"/>
      <c r="G283" s="14"/>
      <c r="H283" s="14" t="s">
        <v>1278</v>
      </c>
      <c r="I283" s="14" t="s">
        <v>1256</v>
      </c>
      <c r="J283" s="14"/>
      <c r="K283" s="14"/>
      <c r="L283" s="14"/>
      <c r="M283" s="14"/>
      <c r="N283" s="14"/>
      <c r="O283" s="14" t="s">
        <v>1279</v>
      </c>
      <c r="P283" s="14"/>
    </row>
    <row r="284" customFormat="false" ht="15" hidden="false" customHeight="false" outlineLevel="0" collapsed="false">
      <c r="A284" s="14" t="s">
        <v>1738</v>
      </c>
      <c r="B284" s="14" t="s">
        <v>1739</v>
      </c>
      <c r="C284" s="14"/>
      <c r="D284" s="14" t="s">
        <v>1180</v>
      </c>
      <c r="E284" s="14" t="s">
        <v>1396</v>
      </c>
      <c r="F284" s="14"/>
      <c r="G284" s="14"/>
      <c r="H284" s="14" t="s">
        <v>1278</v>
      </c>
      <c r="I284" s="14" t="s">
        <v>1256</v>
      </c>
      <c r="J284" s="14"/>
      <c r="K284" s="14"/>
      <c r="L284" s="14"/>
      <c r="M284" s="14"/>
      <c r="N284" s="14"/>
      <c r="O284" s="14" t="s">
        <v>1279</v>
      </c>
      <c r="P284" s="14"/>
    </row>
    <row r="285" customFormat="false" ht="15" hidden="false" customHeight="false" outlineLevel="0" collapsed="false">
      <c r="A285" s="14" t="s">
        <v>1740</v>
      </c>
      <c r="B285" s="14" t="s">
        <v>1741</v>
      </c>
      <c r="C285" s="14"/>
      <c r="D285" s="14" t="s">
        <v>1180</v>
      </c>
      <c r="E285" s="14" t="s">
        <v>1396</v>
      </c>
      <c r="F285" s="14"/>
      <c r="G285" s="14"/>
      <c r="H285" s="14" t="s">
        <v>1278</v>
      </c>
      <c r="I285" s="14" t="s">
        <v>1256</v>
      </c>
      <c r="J285" s="14"/>
      <c r="K285" s="14"/>
      <c r="L285" s="14"/>
      <c r="M285" s="14"/>
      <c r="N285" s="14"/>
      <c r="O285" s="14" t="s">
        <v>1279</v>
      </c>
      <c r="P285" s="14"/>
    </row>
    <row r="286" customFormat="false" ht="15" hidden="false" customHeight="false" outlineLevel="0" collapsed="false">
      <c r="A286" s="14" t="s">
        <v>1742</v>
      </c>
      <c r="B286" s="14" t="s">
        <v>1743</v>
      </c>
      <c r="C286" s="14"/>
      <c r="D286" s="14" t="s">
        <v>1180</v>
      </c>
      <c r="E286" s="14" t="s">
        <v>1396</v>
      </c>
      <c r="F286" s="14"/>
      <c r="G286" s="14"/>
      <c r="H286" s="14" t="s">
        <v>1278</v>
      </c>
      <c r="I286" s="14" t="s">
        <v>1256</v>
      </c>
      <c r="J286" s="14"/>
      <c r="K286" s="14"/>
      <c r="L286" s="14"/>
      <c r="M286" s="14"/>
      <c r="N286" s="14"/>
      <c r="O286" s="14" t="s">
        <v>1279</v>
      </c>
      <c r="P286" s="14"/>
    </row>
    <row r="287" customFormat="false" ht="15" hidden="false" customHeight="false" outlineLevel="0" collapsed="false">
      <c r="A287" s="14" t="s">
        <v>1744</v>
      </c>
      <c r="B287" s="14" t="s">
        <v>1745</v>
      </c>
      <c r="C287" s="14"/>
      <c r="D287" s="14" t="s">
        <v>1180</v>
      </c>
      <c r="E287" s="14" t="s">
        <v>1396</v>
      </c>
      <c r="F287" s="14"/>
      <c r="G287" s="14"/>
      <c r="H287" s="14" t="s">
        <v>1278</v>
      </c>
      <c r="I287" s="14" t="s">
        <v>1256</v>
      </c>
      <c r="J287" s="14"/>
      <c r="K287" s="14"/>
      <c r="L287" s="14"/>
      <c r="M287" s="14"/>
      <c r="N287" s="14"/>
      <c r="O287" s="14" t="s">
        <v>1279</v>
      </c>
      <c r="P287" s="14"/>
    </row>
    <row r="288" customFormat="false" ht="15" hidden="false" customHeight="false" outlineLevel="0" collapsed="false">
      <c r="A288" s="14" t="s">
        <v>1746</v>
      </c>
      <c r="B288" s="14" t="s">
        <v>1747</v>
      </c>
      <c r="C288" s="14"/>
      <c r="D288" s="14" t="s">
        <v>1180</v>
      </c>
      <c r="E288" s="14" t="s">
        <v>1396</v>
      </c>
      <c r="F288" s="14"/>
      <c r="G288" s="14"/>
      <c r="H288" s="14" t="s">
        <v>1278</v>
      </c>
      <c r="I288" s="14" t="s">
        <v>1256</v>
      </c>
      <c r="J288" s="14"/>
      <c r="K288" s="14"/>
      <c r="L288" s="14"/>
      <c r="M288" s="14"/>
      <c r="N288" s="14"/>
      <c r="O288" s="14" t="s">
        <v>1279</v>
      </c>
      <c r="P288" s="14"/>
    </row>
    <row r="289" customFormat="false" ht="15" hidden="false" customHeight="false" outlineLevel="0" collapsed="false">
      <c r="A289" s="14" t="s">
        <v>1748</v>
      </c>
      <c r="B289" s="14" t="s">
        <v>1749</v>
      </c>
      <c r="C289" s="14"/>
      <c r="D289" s="14" t="s">
        <v>1180</v>
      </c>
      <c r="E289" s="14" t="s">
        <v>1396</v>
      </c>
      <c r="F289" s="14"/>
      <c r="G289" s="14"/>
      <c r="H289" s="14" t="s">
        <v>1278</v>
      </c>
      <c r="I289" s="14" t="s">
        <v>1256</v>
      </c>
      <c r="J289" s="14"/>
      <c r="K289" s="14"/>
      <c r="L289" s="14"/>
      <c r="M289" s="14"/>
      <c r="N289" s="14"/>
      <c r="O289" s="14" t="s">
        <v>1279</v>
      </c>
      <c r="P289" s="14"/>
    </row>
    <row r="290" customFormat="false" ht="22.35" hidden="false" customHeight="false" outlineLevel="0" collapsed="false">
      <c r="A290" s="14" t="s">
        <v>1750</v>
      </c>
      <c r="B290" s="14" t="s">
        <v>1751</v>
      </c>
      <c r="C290" s="14" t="s">
        <v>1330</v>
      </c>
      <c r="D290" s="14" t="s">
        <v>1180</v>
      </c>
      <c r="E290" s="14" t="s">
        <v>1396</v>
      </c>
      <c r="F290" s="14" t="s">
        <v>215</v>
      </c>
      <c r="G290" s="14" t="s">
        <v>77</v>
      </c>
      <c r="H290" s="14" t="s">
        <v>1278</v>
      </c>
      <c r="I290" s="14" t="s">
        <v>1291</v>
      </c>
      <c r="J290" s="14"/>
      <c r="K290" s="14"/>
      <c r="L290" s="14"/>
      <c r="M290" s="14"/>
      <c r="N290" s="14"/>
      <c r="O290" s="14" t="s">
        <v>1279</v>
      </c>
      <c r="P290" s="14" t="s">
        <v>1752</v>
      </c>
    </row>
    <row r="291" customFormat="false" ht="15" hidden="false" customHeight="false" outlineLevel="0" collapsed="false">
      <c r="A291" s="14" t="s">
        <v>1753</v>
      </c>
      <c r="B291" s="14" t="s">
        <v>1754</v>
      </c>
      <c r="C291" s="14"/>
      <c r="D291" s="14" t="s">
        <v>1180</v>
      </c>
      <c r="E291" s="14" t="s">
        <v>1396</v>
      </c>
      <c r="F291" s="14"/>
      <c r="G291" s="14"/>
      <c r="H291" s="14" t="s">
        <v>1278</v>
      </c>
      <c r="I291" s="14" t="s">
        <v>1256</v>
      </c>
      <c r="J291" s="14"/>
      <c r="K291" s="14"/>
      <c r="L291" s="14"/>
      <c r="M291" s="14"/>
      <c r="N291" s="14"/>
      <c r="O291" s="14" t="s">
        <v>1279</v>
      </c>
      <c r="P291" s="14"/>
    </row>
    <row r="292" customFormat="false" ht="15" hidden="false" customHeight="false" outlineLevel="0" collapsed="false">
      <c r="A292" s="14" t="s">
        <v>1755</v>
      </c>
      <c r="B292" s="14" t="s">
        <v>1756</v>
      </c>
      <c r="C292" s="14"/>
      <c r="D292" s="14" t="s">
        <v>1180</v>
      </c>
      <c r="E292" s="14" t="s">
        <v>1396</v>
      </c>
      <c r="F292" s="14"/>
      <c r="G292" s="14"/>
      <c r="H292" s="14" t="s">
        <v>1278</v>
      </c>
      <c r="I292" s="14" t="s">
        <v>1256</v>
      </c>
      <c r="J292" s="14"/>
      <c r="K292" s="14"/>
      <c r="L292" s="14"/>
      <c r="M292" s="14"/>
      <c r="N292" s="14"/>
      <c r="O292" s="14" t="s">
        <v>1279</v>
      </c>
      <c r="P292" s="14"/>
    </row>
    <row r="293" customFormat="false" ht="15" hidden="false" customHeight="false" outlineLevel="0" collapsed="false">
      <c r="A293" s="14" t="s">
        <v>1757</v>
      </c>
      <c r="B293" s="14" t="s">
        <v>1758</v>
      </c>
      <c r="C293" s="14"/>
      <c r="D293" s="14" t="s">
        <v>1180</v>
      </c>
      <c r="E293" s="14" t="s">
        <v>1396</v>
      </c>
      <c r="F293" s="14"/>
      <c r="G293" s="14"/>
      <c r="H293" s="14" t="s">
        <v>1278</v>
      </c>
      <c r="I293" s="14" t="s">
        <v>1256</v>
      </c>
      <c r="J293" s="14"/>
      <c r="K293" s="14"/>
      <c r="L293" s="14"/>
      <c r="M293" s="14"/>
      <c r="N293" s="14"/>
      <c r="O293" s="14" t="s">
        <v>1279</v>
      </c>
      <c r="P293" s="14"/>
    </row>
    <row r="294" customFormat="false" ht="15" hidden="false" customHeight="false" outlineLevel="0" collapsed="false">
      <c r="A294" s="14" t="s">
        <v>1759</v>
      </c>
      <c r="B294" s="14" t="s">
        <v>1760</v>
      </c>
      <c r="C294" s="14"/>
      <c r="D294" s="14" t="s">
        <v>1180</v>
      </c>
      <c r="E294" s="14" t="s">
        <v>1396</v>
      </c>
      <c r="F294" s="14"/>
      <c r="G294" s="14"/>
      <c r="H294" s="14" t="s">
        <v>1278</v>
      </c>
      <c r="I294" s="14" t="s">
        <v>1256</v>
      </c>
      <c r="J294" s="14"/>
      <c r="K294" s="14"/>
      <c r="L294" s="14"/>
      <c r="M294" s="14"/>
      <c r="N294" s="14"/>
      <c r="O294" s="14" t="s">
        <v>1279</v>
      </c>
      <c r="P294" s="14"/>
    </row>
    <row r="295" customFormat="false" ht="15" hidden="false" customHeight="false" outlineLevel="0" collapsed="false">
      <c r="A295" s="14" t="s">
        <v>1761</v>
      </c>
      <c r="B295" s="14" t="s">
        <v>1762</v>
      </c>
      <c r="C295" s="14"/>
      <c r="D295" s="14" t="s">
        <v>1180</v>
      </c>
      <c r="E295" s="14" t="s">
        <v>1396</v>
      </c>
      <c r="F295" s="14"/>
      <c r="G295" s="14"/>
      <c r="H295" s="14" t="s">
        <v>1278</v>
      </c>
      <c r="I295" s="14" t="s">
        <v>1256</v>
      </c>
      <c r="J295" s="14"/>
      <c r="K295" s="14"/>
      <c r="L295" s="14"/>
      <c r="M295" s="14"/>
      <c r="N295" s="14"/>
      <c r="O295" s="14" t="s">
        <v>1279</v>
      </c>
      <c r="P295" s="14"/>
    </row>
    <row r="296" customFormat="false" ht="15" hidden="false" customHeight="false" outlineLevel="0" collapsed="false">
      <c r="A296" s="14" t="s">
        <v>1763</v>
      </c>
      <c r="B296" s="14" t="s">
        <v>1764</v>
      </c>
      <c r="C296" s="14"/>
      <c r="D296" s="14" t="s">
        <v>1180</v>
      </c>
      <c r="E296" s="14" t="s">
        <v>1396</v>
      </c>
      <c r="F296" s="14"/>
      <c r="G296" s="14"/>
      <c r="H296" s="14" t="s">
        <v>1278</v>
      </c>
      <c r="I296" s="14" t="s">
        <v>1256</v>
      </c>
      <c r="J296" s="14"/>
      <c r="K296" s="14"/>
      <c r="L296" s="14"/>
      <c r="M296" s="14"/>
      <c r="N296" s="14"/>
      <c r="O296" s="14" t="s">
        <v>1279</v>
      </c>
      <c r="P296" s="14"/>
    </row>
    <row r="297" customFormat="false" ht="15" hidden="false" customHeight="false" outlineLevel="0" collapsed="false">
      <c r="A297" s="14" t="s">
        <v>1765</v>
      </c>
      <c r="B297" s="14" t="s">
        <v>1766</v>
      </c>
      <c r="C297" s="14"/>
      <c r="D297" s="14" t="s">
        <v>1180</v>
      </c>
      <c r="E297" s="14" t="s">
        <v>1396</v>
      </c>
      <c r="F297" s="14"/>
      <c r="G297" s="14"/>
      <c r="H297" s="14" t="s">
        <v>1278</v>
      </c>
      <c r="I297" s="14" t="s">
        <v>1256</v>
      </c>
      <c r="J297" s="14"/>
      <c r="K297" s="14"/>
      <c r="L297" s="14"/>
      <c r="M297" s="14"/>
      <c r="N297" s="14"/>
      <c r="O297" s="14" t="s">
        <v>1279</v>
      </c>
      <c r="P297" s="14"/>
    </row>
    <row r="298" customFormat="false" ht="15" hidden="false" customHeight="false" outlineLevel="0" collapsed="false">
      <c r="A298" s="14" t="s">
        <v>1767</v>
      </c>
      <c r="B298" s="14" t="s">
        <v>1768</v>
      </c>
      <c r="C298" s="14"/>
      <c r="D298" s="14" t="s">
        <v>1180</v>
      </c>
      <c r="E298" s="14" t="s">
        <v>1396</v>
      </c>
      <c r="F298" s="14"/>
      <c r="G298" s="14"/>
      <c r="H298" s="14" t="s">
        <v>1278</v>
      </c>
      <c r="I298" s="14" t="s">
        <v>1256</v>
      </c>
      <c r="J298" s="14"/>
      <c r="K298" s="14"/>
      <c r="L298" s="14"/>
      <c r="M298" s="14"/>
      <c r="N298" s="14"/>
      <c r="O298" s="14" t="s">
        <v>1279</v>
      </c>
      <c r="P298" s="14"/>
    </row>
    <row r="299" customFormat="false" ht="15" hidden="false" customHeight="false" outlineLevel="0" collapsed="false">
      <c r="A299" s="14" t="s">
        <v>1769</v>
      </c>
      <c r="B299" s="14" t="s">
        <v>1770</v>
      </c>
      <c r="C299" s="14"/>
      <c r="D299" s="14" t="s">
        <v>1180</v>
      </c>
      <c r="E299" s="14" t="s">
        <v>1396</v>
      </c>
      <c r="F299" s="14"/>
      <c r="G299" s="14"/>
      <c r="H299" s="14" t="s">
        <v>1278</v>
      </c>
      <c r="I299" s="14" t="s">
        <v>1256</v>
      </c>
      <c r="J299" s="14"/>
      <c r="K299" s="14"/>
      <c r="L299" s="14"/>
      <c r="M299" s="14"/>
      <c r="N299" s="14"/>
      <c r="O299" s="14" t="s">
        <v>1279</v>
      </c>
      <c r="P299" s="14"/>
    </row>
    <row r="300" customFormat="false" ht="15" hidden="false" customHeight="false" outlineLevel="0" collapsed="false">
      <c r="A300" s="14" t="s">
        <v>1771</v>
      </c>
      <c r="B300" s="14" t="s">
        <v>1772</v>
      </c>
      <c r="C300" s="14"/>
      <c r="D300" s="14" t="s">
        <v>1180</v>
      </c>
      <c r="E300" s="14" t="s">
        <v>1396</v>
      </c>
      <c r="F300" s="14"/>
      <c r="G300" s="14"/>
      <c r="H300" s="14" t="s">
        <v>1278</v>
      </c>
      <c r="I300" s="14" t="s">
        <v>1256</v>
      </c>
      <c r="J300" s="14"/>
      <c r="K300" s="14"/>
      <c r="L300" s="14"/>
      <c r="M300" s="14"/>
      <c r="N300" s="14"/>
      <c r="O300" s="14" t="s">
        <v>1279</v>
      </c>
      <c r="P300" s="14"/>
    </row>
    <row r="301" customFormat="false" ht="15" hidden="false" customHeight="false" outlineLevel="0" collapsed="false">
      <c r="A301" s="14" t="s">
        <v>1773</v>
      </c>
      <c r="B301" s="14" t="s">
        <v>1774</v>
      </c>
      <c r="C301" s="14"/>
      <c r="D301" s="14" t="s">
        <v>1180</v>
      </c>
      <c r="E301" s="14" t="s">
        <v>1396</v>
      </c>
      <c r="F301" s="14"/>
      <c r="G301" s="14"/>
      <c r="H301" s="14" t="s">
        <v>1278</v>
      </c>
      <c r="I301" s="14" t="s">
        <v>1256</v>
      </c>
      <c r="J301" s="14"/>
      <c r="K301" s="14"/>
      <c r="L301" s="14"/>
      <c r="M301" s="14"/>
      <c r="N301" s="14"/>
      <c r="O301" s="14" t="s">
        <v>1279</v>
      </c>
      <c r="P301" s="14"/>
    </row>
    <row r="302" customFormat="false" ht="15" hidden="false" customHeight="false" outlineLevel="0" collapsed="false">
      <c r="A302" s="14" t="s">
        <v>1775</v>
      </c>
      <c r="B302" s="14" t="s">
        <v>1776</v>
      </c>
      <c r="C302" s="14"/>
      <c r="D302" s="14" t="s">
        <v>1180</v>
      </c>
      <c r="E302" s="14" t="s">
        <v>1396</v>
      </c>
      <c r="F302" s="14"/>
      <c r="G302" s="14"/>
      <c r="H302" s="14" t="s">
        <v>1278</v>
      </c>
      <c r="I302" s="14" t="s">
        <v>1256</v>
      </c>
      <c r="J302" s="14"/>
      <c r="K302" s="14"/>
      <c r="L302" s="14"/>
      <c r="M302" s="14"/>
      <c r="N302" s="14"/>
      <c r="O302" s="14" t="s">
        <v>1279</v>
      </c>
      <c r="P302" s="14"/>
    </row>
    <row r="303" customFormat="false" ht="15" hidden="false" customHeight="false" outlineLevel="0" collapsed="false">
      <c r="A303" s="14" t="s">
        <v>1777</v>
      </c>
      <c r="B303" s="14" t="s">
        <v>1778</v>
      </c>
      <c r="C303" s="14"/>
      <c r="D303" s="14" t="s">
        <v>1180</v>
      </c>
      <c r="E303" s="14" t="s">
        <v>1396</v>
      </c>
      <c r="F303" s="14"/>
      <c r="G303" s="14"/>
      <c r="H303" s="14" t="s">
        <v>1278</v>
      </c>
      <c r="I303" s="14" t="s">
        <v>1256</v>
      </c>
      <c r="J303" s="14"/>
      <c r="K303" s="14"/>
      <c r="L303" s="14"/>
      <c r="M303" s="14"/>
      <c r="N303" s="14"/>
      <c r="O303" s="14" t="s">
        <v>1279</v>
      </c>
      <c r="P303" s="14"/>
    </row>
    <row r="304" customFormat="false" ht="15" hidden="false" customHeight="false" outlineLevel="0" collapsed="false">
      <c r="A304" s="14" t="s">
        <v>1779</v>
      </c>
      <c r="B304" s="14" t="s">
        <v>1780</v>
      </c>
      <c r="C304" s="14"/>
      <c r="D304" s="14" t="s">
        <v>1180</v>
      </c>
      <c r="E304" s="14" t="s">
        <v>1396</v>
      </c>
      <c r="F304" s="14"/>
      <c r="G304" s="14"/>
      <c r="H304" s="14" t="s">
        <v>1278</v>
      </c>
      <c r="I304" s="14" t="s">
        <v>1256</v>
      </c>
      <c r="J304" s="14"/>
      <c r="K304" s="14"/>
      <c r="L304" s="14"/>
      <c r="M304" s="14"/>
      <c r="N304" s="14"/>
      <c r="O304" s="14" t="s">
        <v>1279</v>
      </c>
      <c r="P304" s="14"/>
    </row>
    <row r="305" customFormat="false" ht="15" hidden="false" customHeight="false" outlineLevel="0" collapsed="false">
      <c r="A305" s="14" t="s">
        <v>1781</v>
      </c>
      <c r="B305" s="14" t="s">
        <v>1782</v>
      </c>
      <c r="C305" s="14"/>
      <c r="D305" s="14" t="s">
        <v>1180</v>
      </c>
      <c r="E305" s="14" t="s">
        <v>1396</v>
      </c>
      <c r="F305" s="14"/>
      <c r="G305" s="14"/>
      <c r="H305" s="14" t="s">
        <v>1278</v>
      </c>
      <c r="I305" s="14" t="s">
        <v>1256</v>
      </c>
      <c r="J305" s="14"/>
      <c r="K305" s="14"/>
      <c r="L305" s="14"/>
      <c r="M305" s="14"/>
      <c r="N305" s="14"/>
      <c r="O305" s="14" t="s">
        <v>1279</v>
      </c>
      <c r="P305" s="14"/>
    </row>
    <row r="306" customFormat="false" ht="15" hidden="false" customHeight="false" outlineLevel="0" collapsed="false">
      <c r="A306" s="14" t="s">
        <v>1783</v>
      </c>
      <c r="B306" s="14" t="s">
        <v>1784</v>
      </c>
      <c r="C306" s="14"/>
      <c r="D306" s="14" t="s">
        <v>1180</v>
      </c>
      <c r="E306" s="14" t="s">
        <v>1396</v>
      </c>
      <c r="F306" s="14"/>
      <c r="G306" s="14"/>
      <c r="H306" s="14" t="s">
        <v>1278</v>
      </c>
      <c r="I306" s="14" t="s">
        <v>1256</v>
      </c>
      <c r="J306" s="14"/>
      <c r="K306" s="14"/>
      <c r="L306" s="14"/>
      <c r="M306" s="14"/>
      <c r="N306" s="14"/>
      <c r="O306" s="14" t="s">
        <v>1279</v>
      </c>
      <c r="P306" s="14"/>
    </row>
    <row r="307" customFormat="false" ht="15" hidden="false" customHeight="false" outlineLevel="0" collapsed="false">
      <c r="A307" s="14" t="s">
        <v>1785</v>
      </c>
      <c r="B307" s="14" t="s">
        <v>1786</v>
      </c>
      <c r="C307" s="14"/>
      <c r="D307" s="14" t="s">
        <v>1180</v>
      </c>
      <c r="E307" s="14" t="s">
        <v>1396</v>
      </c>
      <c r="F307" s="14"/>
      <c r="G307" s="14"/>
      <c r="H307" s="14" t="s">
        <v>1278</v>
      </c>
      <c r="I307" s="14" t="s">
        <v>1256</v>
      </c>
      <c r="J307" s="14"/>
      <c r="K307" s="14"/>
      <c r="L307" s="14"/>
      <c r="M307" s="14"/>
      <c r="N307" s="14"/>
      <c r="O307" s="14" t="s">
        <v>1279</v>
      </c>
      <c r="P307" s="14"/>
    </row>
    <row r="308" customFormat="false" ht="15" hidden="false" customHeight="false" outlineLevel="0" collapsed="false">
      <c r="A308" s="14" t="s">
        <v>1787</v>
      </c>
      <c r="B308" s="14" t="s">
        <v>1788</v>
      </c>
      <c r="C308" s="14"/>
      <c r="D308" s="14" t="s">
        <v>1180</v>
      </c>
      <c r="E308" s="14" t="s">
        <v>1396</v>
      </c>
      <c r="F308" s="14"/>
      <c r="G308" s="14"/>
      <c r="H308" s="14" t="s">
        <v>1278</v>
      </c>
      <c r="I308" s="14" t="s">
        <v>1256</v>
      </c>
      <c r="J308" s="14"/>
      <c r="K308" s="14"/>
      <c r="L308" s="14"/>
      <c r="M308" s="14"/>
      <c r="N308" s="14"/>
      <c r="O308" s="14" t="s">
        <v>1279</v>
      </c>
      <c r="P308" s="14"/>
    </row>
    <row r="309" customFormat="false" ht="15" hidden="false" customHeight="false" outlineLevel="0" collapsed="false">
      <c r="A309" s="14" t="s">
        <v>1789</v>
      </c>
      <c r="B309" s="14" t="s">
        <v>1790</v>
      </c>
      <c r="C309" s="14" t="s">
        <v>1791</v>
      </c>
      <c r="D309" s="14" t="s">
        <v>1180</v>
      </c>
      <c r="E309" s="14" t="s">
        <v>1396</v>
      </c>
      <c r="F309" s="14" t="s">
        <v>215</v>
      </c>
      <c r="G309" s="14" t="s">
        <v>77</v>
      </c>
      <c r="H309" s="14" t="s">
        <v>1278</v>
      </c>
      <c r="I309" s="14" t="s">
        <v>1291</v>
      </c>
      <c r="J309" s="14"/>
      <c r="K309" s="14"/>
      <c r="L309" s="14"/>
      <c r="M309" s="14"/>
      <c r="N309" s="14"/>
      <c r="O309" s="14" t="s">
        <v>1279</v>
      </c>
      <c r="P309" s="14"/>
    </row>
    <row r="310" customFormat="false" ht="22.35" hidden="false" customHeight="false" outlineLevel="0" collapsed="false">
      <c r="A310" s="14" t="s">
        <v>1792</v>
      </c>
      <c r="B310" s="14" t="s">
        <v>1793</v>
      </c>
      <c r="C310" s="14" t="s">
        <v>1330</v>
      </c>
      <c r="D310" s="14" t="s">
        <v>1180</v>
      </c>
      <c r="E310" s="14" t="s">
        <v>1396</v>
      </c>
      <c r="F310" s="14" t="s">
        <v>215</v>
      </c>
      <c r="G310" s="14" t="s">
        <v>77</v>
      </c>
      <c r="H310" s="14" t="s">
        <v>1278</v>
      </c>
      <c r="I310" s="14" t="s">
        <v>1107</v>
      </c>
      <c r="J310" s="14"/>
      <c r="K310" s="14"/>
      <c r="L310" s="14"/>
      <c r="M310" s="14"/>
      <c r="N310" s="14"/>
      <c r="O310" s="14" t="s">
        <v>1279</v>
      </c>
      <c r="P310" s="14" t="s">
        <v>1794</v>
      </c>
    </row>
    <row r="311" customFormat="false" ht="15" hidden="false" customHeight="false" outlineLevel="0" collapsed="false">
      <c r="A311" s="14" t="s">
        <v>1795</v>
      </c>
      <c r="B311" s="14" t="s">
        <v>1796</v>
      </c>
      <c r="C311" s="14"/>
      <c r="D311" s="14" t="s">
        <v>1180</v>
      </c>
      <c r="E311" s="14" t="s">
        <v>1396</v>
      </c>
      <c r="F311" s="14"/>
      <c r="G311" s="14"/>
      <c r="H311" s="14" t="s">
        <v>1278</v>
      </c>
      <c r="I311" s="14" t="s">
        <v>1256</v>
      </c>
      <c r="J311" s="14"/>
      <c r="K311" s="14"/>
      <c r="L311" s="14"/>
      <c r="M311" s="14"/>
      <c r="N311" s="14"/>
      <c r="O311" s="14" t="s">
        <v>1279</v>
      </c>
      <c r="P311" s="14"/>
    </row>
    <row r="312" customFormat="false" ht="15" hidden="false" customHeight="false" outlineLevel="0" collapsed="false">
      <c r="A312" s="14" t="s">
        <v>1797</v>
      </c>
      <c r="B312" s="14" t="s">
        <v>1798</v>
      </c>
      <c r="C312" s="14"/>
      <c r="D312" s="14" t="s">
        <v>1180</v>
      </c>
      <c r="E312" s="14" t="s">
        <v>1396</v>
      </c>
      <c r="F312" s="14"/>
      <c r="G312" s="14"/>
      <c r="H312" s="14" t="s">
        <v>1278</v>
      </c>
      <c r="I312" s="14" t="s">
        <v>1256</v>
      </c>
      <c r="J312" s="14"/>
      <c r="K312" s="14"/>
      <c r="L312" s="14"/>
      <c r="M312" s="14"/>
      <c r="N312" s="14"/>
      <c r="O312" s="14" t="s">
        <v>1279</v>
      </c>
      <c r="P312" s="14"/>
    </row>
    <row r="313" customFormat="false" ht="15" hidden="false" customHeight="false" outlineLevel="0" collapsed="false">
      <c r="A313" s="14" t="s">
        <v>1799</v>
      </c>
      <c r="B313" s="14" t="s">
        <v>1800</v>
      </c>
      <c r="C313" s="14"/>
      <c r="D313" s="14" t="s">
        <v>1180</v>
      </c>
      <c r="E313" s="14" t="s">
        <v>1396</v>
      </c>
      <c r="F313" s="14"/>
      <c r="G313" s="14"/>
      <c r="H313" s="14" t="s">
        <v>1278</v>
      </c>
      <c r="I313" s="14" t="s">
        <v>1256</v>
      </c>
      <c r="J313" s="14"/>
      <c r="K313" s="14"/>
      <c r="L313" s="14"/>
      <c r="M313" s="14"/>
      <c r="N313" s="14"/>
      <c r="O313" s="14" t="s">
        <v>1279</v>
      </c>
      <c r="P313" s="14"/>
    </row>
    <row r="314" customFormat="false" ht="15" hidden="false" customHeight="false" outlineLevel="0" collapsed="false">
      <c r="A314" s="14" t="s">
        <v>1801</v>
      </c>
      <c r="B314" s="14" t="s">
        <v>1802</v>
      </c>
      <c r="C314" s="14"/>
      <c r="D314" s="14" t="s">
        <v>1180</v>
      </c>
      <c r="E314" s="14" t="s">
        <v>1396</v>
      </c>
      <c r="F314" s="14"/>
      <c r="G314" s="14"/>
      <c r="H314" s="14" t="s">
        <v>1278</v>
      </c>
      <c r="I314" s="14" t="s">
        <v>1256</v>
      </c>
      <c r="J314" s="14"/>
      <c r="K314" s="14"/>
      <c r="L314" s="14"/>
      <c r="M314" s="14"/>
      <c r="N314" s="14"/>
      <c r="O314" s="14" t="s">
        <v>1279</v>
      </c>
      <c r="P314" s="14"/>
    </row>
    <row r="315" customFormat="false" ht="15" hidden="false" customHeight="false" outlineLevel="0" collapsed="false">
      <c r="A315" s="14" t="s">
        <v>1803</v>
      </c>
      <c r="B315" s="14" t="s">
        <v>1804</v>
      </c>
      <c r="C315" s="14"/>
      <c r="D315" s="14" t="s">
        <v>1180</v>
      </c>
      <c r="E315" s="14" t="s">
        <v>1396</v>
      </c>
      <c r="F315" s="14"/>
      <c r="G315" s="14"/>
      <c r="H315" s="14" t="s">
        <v>1278</v>
      </c>
      <c r="I315" s="14" t="s">
        <v>1256</v>
      </c>
      <c r="J315" s="14"/>
      <c r="K315" s="14"/>
      <c r="L315" s="14"/>
      <c r="M315" s="14"/>
      <c r="N315" s="14"/>
      <c r="O315" s="14" t="s">
        <v>1279</v>
      </c>
      <c r="P315" s="14"/>
    </row>
    <row r="316" customFormat="false" ht="15" hidden="false" customHeight="false" outlineLevel="0" collapsed="false">
      <c r="A316" s="14" t="s">
        <v>1805</v>
      </c>
      <c r="B316" s="14" t="s">
        <v>1806</v>
      </c>
      <c r="C316" s="14"/>
      <c r="D316" s="14" t="s">
        <v>1180</v>
      </c>
      <c r="E316" s="14" t="s">
        <v>1396</v>
      </c>
      <c r="F316" s="14"/>
      <c r="G316" s="14"/>
      <c r="H316" s="14" t="s">
        <v>1278</v>
      </c>
      <c r="I316" s="14" t="s">
        <v>1256</v>
      </c>
      <c r="J316" s="14"/>
      <c r="K316" s="14"/>
      <c r="L316" s="14"/>
      <c r="M316" s="14"/>
      <c r="N316" s="14"/>
      <c r="O316" s="14" t="s">
        <v>1279</v>
      </c>
      <c r="P316" s="14"/>
    </row>
    <row r="317" customFormat="false" ht="15" hidden="false" customHeight="false" outlineLevel="0" collapsed="false">
      <c r="A317" s="14" t="s">
        <v>1807</v>
      </c>
      <c r="B317" s="14" t="s">
        <v>1808</v>
      </c>
      <c r="C317" s="14"/>
      <c r="D317" s="14" t="s">
        <v>1180</v>
      </c>
      <c r="E317" s="14" t="s">
        <v>1396</v>
      </c>
      <c r="F317" s="14"/>
      <c r="G317" s="14"/>
      <c r="H317" s="14" t="s">
        <v>1278</v>
      </c>
      <c r="I317" s="14" t="s">
        <v>1256</v>
      </c>
      <c r="J317" s="14"/>
      <c r="K317" s="14"/>
      <c r="L317" s="14"/>
      <c r="M317" s="14"/>
      <c r="N317" s="14"/>
      <c r="O317" s="14" t="s">
        <v>1279</v>
      </c>
      <c r="P317" s="14"/>
    </row>
    <row r="318" customFormat="false" ht="15" hidden="false" customHeight="false" outlineLevel="0" collapsed="false">
      <c r="A318" s="14" t="s">
        <v>1809</v>
      </c>
      <c r="B318" s="14" t="s">
        <v>1810</v>
      </c>
      <c r="C318" s="14"/>
      <c r="D318" s="14" t="s">
        <v>1180</v>
      </c>
      <c r="E318" s="14" t="s">
        <v>1396</v>
      </c>
      <c r="F318" s="14"/>
      <c r="G318" s="14"/>
      <c r="H318" s="14" t="s">
        <v>1278</v>
      </c>
      <c r="I318" s="14" t="s">
        <v>1256</v>
      </c>
      <c r="J318" s="14"/>
      <c r="K318" s="14"/>
      <c r="L318" s="14"/>
      <c r="M318" s="14"/>
      <c r="N318" s="14"/>
      <c r="O318" s="14" t="s">
        <v>1279</v>
      </c>
      <c r="P318" s="14"/>
    </row>
    <row r="319" customFormat="false" ht="15" hidden="false" customHeight="false" outlineLevel="0" collapsed="false">
      <c r="A319" s="14" t="s">
        <v>1811</v>
      </c>
      <c r="B319" s="14" t="s">
        <v>1812</v>
      </c>
      <c r="C319" s="14"/>
      <c r="D319" s="14" t="s">
        <v>1180</v>
      </c>
      <c r="E319" s="14" t="s">
        <v>1396</v>
      </c>
      <c r="F319" s="14"/>
      <c r="G319" s="14"/>
      <c r="H319" s="14" t="s">
        <v>1278</v>
      </c>
      <c r="I319" s="14" t="s">
        <v>1256</v>
      </c>
      <c r="J319" s="14"/>
      <c r="K319" s="14"/>
      <c r="L319" s="14"/>
      <c r="M319" s="14"/>
      <c r="N319" s="14"/>
      <c r="O319" s="14" t="s">
        <v>1279</v>
      </c>
      <c r="P319" s="14"/>
    </row>
    <row r="320" customFormat="false" ht="15" hidden="false" customHeight="false" outlineLevel="0" collapsed="false">
      <c r="A320" s="14" t="s">
        <v>1813</v>
      </c>
      <c r="B320" s="14" t="s">
        <v>1814</v>
      </c>
      <c r="C320" s="14"/>
      <c r="D320" s="14" t="s">
        <v>1180</v>
      </c>
      <c r="E320" s="14" t="s">
        <v>1396</v>
      </c>
      <c r="F320" s="14"/>
      <c r="G320" s="14"/>
      <c r="H320" s="14" t="s">
        <v>1278</v>
      </c>
      <c r="I320" s="14" t="s">
        <v>1256</v>
      </c>
      <c r="J320" s="14"/>
      <c r="K320" s="14"/>
      <c r="L320" s="14"/>
      <c r="M320" s="14"/>
      <c r="N320" s="14"/>
      <c r="O320" s="14" t="s">
        <v>1279</v>
      </c>
      <c r="P320" s="14"/>
    </row>
    <row r="321" customFormat="false" ht="15" hidden="false" customHeight="false" outlineLevel="0" collapsed="false">
      <c r="A321" s="14" t="s">
        <v>1815</v>
      </c>
      <c r="B321" s="14" t="s">
        <v>1816</v>
      </c>
      <c r="C321" s="14"/>
      <c r="D321" s="14" t="s">
        <v>1180</v>
      </c>
      <c r="E321" s="14" t="s">
        <v>1396</v>
      </c>
      <c r="F321" s="14"/>
      <c r="G321" s="14"/>
      <c r="H321" s="14" t="s">
        <v>1278</v>
      </c>
      <c r="I321" s="14" t="s">
        <v>1256</v>
      </c>
      <c r="J321" s="14"/>
      <c r="K321" s="14"/>
      <c r="L321" s="14"/>
      <c r="M321" s="14"/>
      <c r="N321" s="14"/>
      <c r="O321" s="14" t="s">
        <v>1279</v>
      </c>
      <c r="P321" s="14"/>
    </row>
    <row r="322" customFormat="false" ht="15" hidden="false" customHeight="false" outlineLevel="0" collapsed="false">
      <c r="A322" s="14" t="s">
        <v>1817</v>
      </c>
      <c r="B322" s="14" t="s">
        <v>1818</v>
      </c>
      <c r="C322" s="14" t="s">
        <v>773</v>
      </c>
      <c r="D322" s="14" t="s">
        <v>1180</v>
      </c>
      <c r="E322" s="14" t="s">
        <v>1396</v>
      </c>
      <c r="F322" s="14" t="s">
        <v>215</v>
      </c>
      <c r="G322" s="14" t="s">
        <v>77</v>
      </c>
      <c r="H322" s="14" t="s">
        <v>1278</v>
      </c>
      <c r="I322" s="14" t="s">
        <v>1256</v>
      </c>
      <c r="J322" s="14"/>
      <c r="K322" s="14"/>
      <c r="L322" s="14"/>
      <c r="M322" s="14"/>
      <c r="N322" s="14"/>
      <c r="O322" s="14" t="s">
        <v>1279</v>
      </c>
      <c r="P322" s="14"/>
    </row>
    <row r="323" customFormat="false" ht="15" hidden="false" customHeight="false" outlineLevel="0" collapsed="false">
      <c r="A323" s="14" t="s">
        <v>1819</v>
      </c>
      <c r="B323" s="14" t="s">
        <v>1820</v>
      </c>
      <c r="C323" s="14"/>
      <c r="D323" s="14" t="s">
        <v>1180</v>
      </c>
      <c r="E323" s="14" t="s">
        <v>1396</v>
      </c>
      <c r="F323" s="14"/>
      <c r="G323" s="14"/>
      <c r="H323" s="14" t="s">
        <v>1278</v>
      </c>
      <c r="I323" s="14" t="s">
        <v>1256</v>
      </c>
      <c r="J323" s="14"/>
      <c r="K323" s="14"/>
      <c r="L323" s="14"/>
      <c r="M323" s="14"/>
      <c r="N323" s="14"/>
      <c r="O323" s="14" t="s">
        <v>1279</v>
      </c>
      <c r="P323" s="14"/>
    </row>
    <row r="324" customFormat="false" ht="15" hidden="false" customHeight="false" outlineLevel="0" collapsed="false">
      <c r="A324" s="14" t="s">
        <v>1821</v>
      </c>
      <c r="B324" s="14" t="s">
        <v>1822</v>
      </c>
      <c r="C324" s="14"/>
      <c r="D324" s="14" t="s">
        <v>1180</v>
      </c>
      <c r="E324" s="14" t="s">
        <v>1396</v>
      </c>
      <c r="F324" s="14"/>
      <c r="G324" s="14"/>
      <c r="H324" s="14" t="s">
        <v>1278</v>
      </c>
      <c r="I324" s="14" t="s">
        <v>1256</v>
      </c>
      <c r="J324" s="14"/>
      <c r="K324" s="14"/>
      <c r="L324" s="14"/>
      <c r="M324" s="14"/>
      <c r="N324" s="14"/>
      <c r="O324" s="14" t="s">
        <v>1279</v>
      </c>
      <c r="P324" s="14"/>
    </row>
    <row r="325" customFormat="false" ht="15" hidden="false" customHeight="false" outlineLevel="0" collapsed="false">
      <c r="A325" s="14" t="s">
        <v>1823</v>
      </c>
      <c r="B325" s="14" t="s">
        <v>1824</v>
      </c>
      <c r="C325" s="14"/>
      <c r="D325" s="14" t="s">
        <v>1180</v>
      </c>
      <c r="E325" s="14" t="s">
        <v>1396</v>
      </c>
      <c r="F325" s="14"/>
      <c r="G325" s="14"/>
      <c r="H325" s="14" t="s">
        <v>1278</v>
      </c>
      <c r="I325" s="14" t="s">
        <v>1256</v>
      </c>
      <c r="J325" s="14"/>
      <c r="K325" s="14"/>
      <c r="L325" s="14"/>
      <c r="M325" s="14"/>
      <c r="N325" s="14"/>
      <c r="O325" s="14" t="s">
        <v>1279</v>
      </c>
      <c r="P325" s="14"/>
    </row>
    <row r="326" customFormat="false" ht="15" hidden="false" customHeight="false" outlineLevel="0" collapsed="false">
      <c r="A326" s="14" t="s">
        <v>1825</v>
      </c>
      <c r="B326" s="14" t="s">
        <v>1826</v>
      </c>
      <c r="C326" s="14"/>
      <c r="D326" s="14" t="s">
        <v>1180</v>
      </c>
      <c r="E326" s="14" t="s">
        <v>1396</v>
      </c>
      <c r="F326" s="14"/>
      <c r="G326" s="14"/>
      <c r="H326" s="14" t="s">
        <v>1278</v>
      </c>
      <c r="I326" s="14" t="s">
        <v>1256</v>
      </c>
      <c r="J326" s="14"/>
      <c r="K326" s="14"/>
      <c r="L326" s="14"/>
      <c r="M326" s="14"/>
      <c r="N326" s="14"/>
      <c r="O326" s="14" t="s">
        <v>1279</v>
      </c>
      <c r="P326" s="14"/>
    </row>
    <row r="327" customFormat="false" ht="15" hidden="false" customHeight="false" outlineLevel="0" collapsed="false">
      <c r="A327" s="14" t="s">
        <v>1827</v>
      </c>
      <c r="B327" s="14" t="s">
        <v>1828</v>
      </c>
      <c r="C327" s="14"/>
      <c r="D327" s="14" t="s">
        <v>1180</v>
      </c>
      <c r="E327" s="14" t="s">
        <v>1396</v>
      </c>
      <c r="F327" s="14"/>
      <c r="G327" s="14"/>
      <c r="H327" s="14" t="s">
        <v>1278</v>
      </c>
      <c r="I327" s="14" t="s">
        <v>1256</v>
      </c>
      <c r="J327" s="14"/>
      <c r="K327" s="14"/>
      <c r="L327" s="14"/>
      <c r="M327" s="14"/>
      <c r="N327" s="14"/>
      <c r="O327" s="14" t="s">
        <v>1279</v>
      </c>
      <c r="P327" s="14"/>
    </row>
    <row r="328" customFormat="false" ht="15" hidden="false" customHeight="false" outlineLevel="0" collapsed="false">
      <c r="A328" s="14" t="s">
        <v>1829</v>
      </c>
      <c r="B328" s="14" t="s">
        <v>1830</v>
      </c>
      <c r="C328" s="14"/>
      <c r="D328" s="14" t="s">
        <v>1180</v>
      </c>
      <c r="E328" s="14" t="s">
        <v>1396</v>
      </c>
      <c r="F328" s="14"/>
      <c r="G328" s="14"/>
      <c r="H328" s="14" t="s">
        <v>1278</v>
      </c>
      <c r="I328" s="14" t="s">
        <v>1256</v>
      </c>
      <c r="J328" s="14"/>
      <c r="K328" s="14"/>
      <c r="L328" s="14"/>
      <c r="M328" s="14"/>
      <c r="N328" s="14"/>
      <c r="O328" s="14" t="s">
        <v>1279</v>
      </c>
      <c r="P328" s="14"/>
    </row>
    <row r="329" customFormat="false" ht="15" hidden="false" customHeight="false" outlineLevel="0" collapsed="false">
      <c r="A329" s="14" t="s">
        <v>1831</v>
      </c>
      <c r="B329" s="14" t="s">
        <v>1832</v>
      </c>
      <c r="C329" s="14"/>
      <c r="D329" s="14" t="s">
        <v>1180</v>
      </c>
      <c r="E329" s="14" t="s">
        <v>1396</v>
      </c>
      <c r="F329" s="14"/>
      <c r="G329" s="14"/>
      <c r="H329" s="14" t="s">
        <v>1278</v>
      </c>
      <c r="I329" s="14" t="s">
        <v>1256</v>
      </c>
      <c r="J329" s="14"/>
      <c r="K329" s="14"/>
      <c r="L329" s="14"/>
      <c r="M329" s="14"/>
      <c r="N329" s="14"/>
      <c r="O329" s="14" t="s">
        <v>1279</v>
      </c>
      <c r="P329" s="14"/>
    </row>
    <row r="330" customFormat="false" ht="15" hidden="false" customHeight="false" outlineLevel="0" collapsed="false">
      <c r="A330" s="14" t="s">
        <v>1833</v>
      </c>
      <c r="B330" s="14" t="s">
        <v>1834</v>
      </c>
      <c r="C330" s="14"/>
      <c r="D330" s="14" t="s">
        <v>1180</v>
      </c>
      <c r="E330" s="14" t="s">
        <v>1396</v>
      </c>
      <c r="F330" s="14"/>
      <c r="G330" s="14"/>
      <c r="H330" s="14" t="s">
        <v>1278</v>
      </c>
      <c r="I330" s="14" t="s">
        <v>1256</v>
      </c>
      <c r="J330" s="14"/>
      <c r="K330" s="14"/>
      <c r="L330" s="14"/>
      <c r="M330" s="14"/>
      <c r="N330" s="14"/>
      <c r="O330" s="14" t="s">
        <v>1279</v>
      </c>
      <c r="P330" s="14"/>
    </row>
    <row r="331" customFormat="false" ht="15" hidden="false" customHeight="false" outlineLevel="0" collapsed="false">
      <c r="A331" s="14" t="s">
        <v>1835</v>
      </c>
      <c r="B331" s="14" t="s">
        <v>1836</v>
      </c>
      <c r="C331" s="14"/>
      <c r="D331" s="14" t="s">
        <v>1180</v>
      </c>
      <c r="E331" s="14" t="s">
        <v>1396</v>
      </c>
      <c r="F331" s="14"/>
      <c r="G331" s="14"/>
      <c r="H331" s="14" t="s">
        <v>1278</v>
      </c>
      <c r="I331" s="14" t="s">
        <v>1256</v>
      </c>
      <c r="J331" s="14"/>
      <c r="K331" s="14"/>
      <c r="L331" s="14"/>
      <c r="M331" s="14"/>
      <c r="N331" s="14"/>
      <c r="O331" s="14" t="s">
        <v>1279</v>
      </c>
      <c r="P331" s="14"/>
    </row>
    <row r="332" customFormat="false" ht="15" hidden="false" customHeight="false" outlineLevel="0" collapsed="false">
      <c r="A332" s="14" t="s">
        <v>1837</v>
      </c>
      <c r="B332" s="14" t="s">
        <v>1838</v>
      </c>
      <c r="C332" s="14"/>
      <c r="D332" s="14" t="s">
        <v>1180</v>
      </c>
      <c r="E332" s="14" t="s">
        <v>1396</v>
      </c>
      <c r="F332" s="14"/>
      <c r="G332" s="14"/>
      <c r="H332" s="14" t="s">
        <v>1278</v>
      </c>
      <c r="I332" s="14" t="s">
        <v>1256</v>
      </c>
      <c r="J332" s="14"/>
      <c r="K332" s="14"/>
      <c r="L332" s="14"/>
      <c r="M332" s="14"/>
      <c r="N332" s="14"/>
      <c r="O332" s="14" t="s">
        <v>1279</v>
      </c>
      <c r="P332" s="14"/>
    </row>
    <row r="333" customFormat="false" ht="15" hidden="false" customHeight="false" outlineLevel="0" collapsed="false">
      <c r="A333" s="14" t="s">
        <v>1839</v>
      </c>
      <c r="B333" s="14" t="s">
        <v>1840</v>
      </c>
      <c r="C333" s="14"/>
      <c r="D333" s="14" t="s">
        <v>1180</v>
      </c>
      <c r="E333" s="14" t="s">
        <v>1396</v>
      </c>
      <c r="F333" s="14"/>
      <c r="G333" s="14"/>
      <c r="H333" s="14" t="s">
        <v>1278</v>
      </c>
      <c r="I333" s="14" t="s">
        <v>1256</v>
      </c>
      <c r="J333" s="14"/>
      <c r="K333" s="14"/>
      <c r="L333" s="14"/>
      <c r="M333" s="14"/>
      <c r="N333" s="14"/>
      <c r="O333" s="14" t="s">
        <v>1279</v>
      </c>
      <c r="P333" s="14"/>
    </row>
    <row r="334" customFormat="false" ht="22.35" hidden="false" customHeight="false" outlineLevel="0" collapsed="false">
      <c r="A334" s="14" t="s">
        <v>1841</v>
      </c>
      <c r="B334" s="14" t="s">
        <v>228</v>
      </c>
      <c r="C334" s="14" t="s">
        <v>229</v>
      </c>
      <c r="D334" s="14" t="s">
        <v>12</v>
      </c>
      <c r="E334" s="14" t="s">
        <v>230</v>
      </c>
      <c r="F334" s="14" t="s">
        <v>215</v>
      </c>
      <c r="G334" s="14" t="s">
        <v>77</v>
      </c>
      <c r="H334" s="14" t="s">
        <v>1084</v>
      </c>
      <c r="I334" s="14" t="s">
        <v>1256</v>
      </c>
      <c r="J334" s="15" t="n">
        <v>1</v>
      </c>
      <c r="K334" s="14"/>
      <c r="L334" s="14"/>
      <c r="M334" s="14"/>
      <c r="N334" s="14"/>
      <c r="O334" s="14" t="s">
        <v>1259</v>
      </c>
      <c r="P334" s="14"/>
    </row>
    <row r="335" customFormat="false" ht="22.35" hidden="false" customHeight="false" outlineLevel="0" collapsed="false">
      <c r="A335" s="14" t="s">
        <v>1842</v>
      </c>
      <c r="B335" s="14" t="s">
        <v>751</v>
      </c>
      <c r="C335" s="14" t="s">
        <v>752</v>
      </c>
      <c r="D335" s="14" t="s">
        <v>12</v>
      </c>
      <c r="E335" s="14" t="s">
        <v>753</v>
      </c>
      <c r="F335" s="14" t="s">
        <v>215</v>
      </c>
      <c r="G335" s="14" t="s">
        <v>77</v>
      </c>
      <c r="H335" s="14" t="s">
        <v>1084</v>
      </c>
      <c r="I335" s="14" t="s">
        <v>1256</v>
      </c>
      <c r="J335" s="17" t="n">
        <v>2</v>
      </c>
      <c r="K335" s="14"/>
      <c r="L335" s="14"/>
      <c r="M335" s="14"/>
      <c r="N335" s="14"/>
      <c r="O335" s="14" t="s">
        <v>1259</v>
      </c>
      <c r="P335" s="14"/>
    </row>
    <row r="336" customFormat="false" ht="22.35" hidden="false" customHeight="false" outlineLevel="0" collapsed="false">
      <c r="A336" s="14" t="s">
        <v>1843</v>
      </c>
      <c r="B336" s="14" t="s">
        <v>235</v>
      </c>
      <c r="C336" s="14"/>
      <c r="D336" s="14" t="s">
        <v>12</v>
      </c>
      <c r="E336" s="14" t="s">
        <v>236</v>
      </c>
      <c r="F336" s="14" t="s">
        <v>237</v>
      </c>
      <c r="G336" s="14" t="s">
        <v>63</v>
      </c>
      <c r="H336" s="14" t="s">
        <v>1084</v>
      </c>
      <c r="I336" s="14" t="s">
        <v>1256</v>
      </c>
      <c r="J336" s="15" t="n">
        <v>1</v>
      </c>
      <c r="K336" s="14"/>
      <c r="L336" s="14"/>
      <c r="M336" s="14"/>
      <c r="N336" s="14"/>
      <c r="O336" s="14" t="s">
        <v>1844</v>
      </c>
      <c r="P336" s="14"/>
    </row>
    <row r="337" customFormat="false" ht="22.35" hidden="false" customHeight="false" outlineLevel="0" collapsed="false">
      <c r="A337" s="14" t="s">
        <v>1845</v>
      </c>
      <c r="B337" s="14" t="s">
        <v>755</v>
      </c>
      <c r="C337" s="14"/>
      <c r="D337" s="14" t="s">
        <v>12</v>
      </c>
      <c r="E337" s="14" t="s">
        <v>756</v>
      </c>
      <c r="F337" s="14" t="s">
        <v>62</v>
      </c>
      <c r="G337" s="14" t="s">
        <v>63</v>
      </c>
      <c r="H337" s="14" t="s">
        <v>1084</v>
      </c>
      <c r="I337" s="14" t="s">
        <v>1256</v>
      </c>
      <c r="J337" s="17" t="n">
        <v>2</v>
      </c>
      <c r="K337" s="14"/>
      <c r="L337" s="14"/>
      <c r="M337" s="14"/>
      <c r="N337" s="14"/>
      <c r="O337" s="14" t="s">
        <v>1846</v>
      </c>
      <c r="P337" s="14"/>
    </row>
    <row r="338" customFormat="false" ht="32.8" hidden="false" customHeight="false" outlineLevel="0" collapsed="false">
      <c r="A338" s="14" t="s">
        <v>1847</v>
      </c>
      <c r="B338" s="14" t="s">
        <v>242</v>
      </c>
      <c r="C338" s="14"/>
      <c r="D338" s="14" t="s">
        <v>12</v>
      </c>
      <c r="E338" s="14" t="s">
        <v>236</v>
      </c>
      <c r="F338" s="14" t="s">
        <v>243</v>
      </c>
      <c r="G338" s="14" t="s">
        <v>63</v>
      </c>
      <c r="H338" s="14" t="s">
        <v>1084</v>
      </c>
      <c r="I338" s="14" t="s">
        <v>1256</v>
      </c>
      <c r="J338" s="15" t="n">
        <v>1</v>
      </c>
      <c r="K338" s="14"/>
      <c r="L338" s="14"/>
      <c r="M338" s="14"/>
      <c r="N338" s="14"/>
      <c r="O338" s="14" t="s">
        <v>1848</v>
      </c>
      <c r="P338" s="14"/>
    </row>
    <row r="339" customFormat="false" ht="32.8" hidden="false" customHeight="false" outlineLevel="0" collapsed="false">
      <c r="A339" s="14" t="s">
        <v>1849</v>
      </c>
      <c r="B339" s="14" t="s">
        <v>245</v>
      </c>
      <c r="C339" s="14"/>
      <c r="D339" s="14" t="s">
        <v>12</v>
      </c>
      <c r="E339" s="14" t="s">
        <v>236</v>
      </c>
      <c r="F339" s="14" t="s">
        <v>246</v>
      </c>
      <c r="G339" s="14" t="s">
        <v>63</v>
      </c>
      <c r="H339" s="14" t="s">
        <v>1084</v>
      </c>
      <c r="I339" s="14" t="s">
        <v>1256</v>
      </c>
      <c r="J339" s="15" t="n">
        <v>1</v>
      </c>
      <c r="K339" s="14"/>
      <c r="L339" s="14"/>
      <c r="M339" s="14"/>
      <c r="N339" s="14"/>
      <c r="O339" s="14" t="s">
        <v>1850</v>
      </c>
      <c r="P339" s="14"/>
    </row>
    <row r="340" customFormat="false" ht="22.35" hidden="false" customHeight="false" outlineLevel="0" collapsed="false">
      <c r="A340" s="14" t="s">
        <v>1851</v>
      </c>
      <c r="B340" s="14" t="s">
        <v>759</v>
      </c>
      <c r="C340" s="14"/>
      <c r="D340" s="14" t="s">
        <v>12</v>
      </c>
      <c r="E340" s="14" t="s">
        <v>760</v>
      </c>
      <c r="F340" s="14" t="s">
        <v>62</v>
      </c>
      <c r="G340" s="14" t="s">
        <v>63</v>
      </c>
      <c r="H340" s="14" t="s">
        <v>1084</v>
      </c>
      <c r="I340" s="14" t="s">
        <v>1256</v>
      </c>
      <c r="J340" s="17" t="n">
        <v>2</v>
      </c>
      <c r="K340" s="14"/>
      <c r="L340" s="14"/>
      <c r="M340" s="14"/>
      <c r="N340" s="14"/>
      <c r="O340" s="14" t="s">
        <v>1259</v>
      </c>
      <c r="P340" s="14"/>
    </row>
    <row r="341" customFormat="false" ht="22.35" hidden="false" customHeight="false" outlineLevel="0" collapsed="false">
      <c r="A341" s="14" t="s">
        <v>1852</v>
      </c>
      <c r="B341" s="14" t="s">
        <v>763</v>
      </c>
      <c r="C341" s="14" t="s">
        <v>764</v>
      </c>
      <c r="D341" s="14" t="s">
        <v>12</v>
      </c>
      <c r="E341" s="14" t="s">
        <v>765</v>
      </c>
      <c r="F341" s="14" t="s">
        <v>492</v>
      </c>
      <c r="G341" s="14" t="s">
        <v>493</v>
      </c>
      <c r="H341" s="14" t="s">
        <v>1084</v>
      </c>
      <c r="I341" s="14" t="s">
        <v>1256</v>
      </c>
      <c r="J341" s="17" t="n">
        <v>2</v>
      </c>
      <c r="K341" s="14"/>
      <c r="L341" s="14"/>
      <c r="M341" s="14"/>
      <c r="N341" s="14"/>
      <c r="O341" s="14" t="s">
        <v>1259</v>
      </c>
      <c r="P341" s="14"/>
    </row>
    <row r="342" customFormat="false" ht="22.35" hidden="false" customHeight="false" outlineLevel="0" collapsed="false">
      <c r="A342" s="14" t="s">
        <v>1853</v>
      </c>
      <c r="B342" s="14" t="s">
        <v>248</v>
      </c>
      <c r="C342" s="14"/>
      <c r="D342" s="14" t="s">
        <v>12</v>
      </c>
      <c r="E342" s="14" t="s">
        <v>249</v>
      </c>
      <c r="F342" s="14" t="s">
        <v>250</v>
      </c>
      <c r="G342" s="14" t="s">
        <v>63</v>
      </c>
      <c r="H342" s="14" t="s">
        <v>1084</v>
      </c>
      <c r="I342" s="14" t="s">
        <v>1256</v>
      </c>
      <c r="J342" s="15" t="n">
        <v>1</v>
      </c>
      <c r="K342" s="14"/>
      <c r="L342" s="14"/>
      <c r="M342" s="14"/>
      <c r="N342" s="14"/>
      <c r="O342" s="14" t="s">
        <v>1854</v>
      </c>
      <c r="P342" s="14"/>
    </row>
    <row r="343" customFormat="false" ht="22.35" hidden="false" customHeight="false" outlineLevel="0" collapsed="false">
      <c r="A343" s="14" t="s">
        <v>1855</v>
      </c>
      <c r="B343" s="14" t="s">
        <v>252</v>
      </c>
      <c r="C343" s="14" t="s">
        <v>253</v>
      </c>
      <c r="D343" s="14" t="s">
        <v>12</v>
      </c>
      <c r="E343" s="14" t="s">
        <v>254</v>
      </c>
      <c r="F343" s="14" t="s">
        <v>215</v>
      </c>
      <c r="G343" s="14" t="s">
        <v>77</v>
      </c>
      <c r="H343" s="14" t="s">
        <v>1084</v>
      </c>
      <c r="I343" s="14" t="s">
        <v>1256</v>
      </c>
      <c r="J343" s="15" t="n">
        <v>1</v>
      </c>
      <c r="K343" s="14"/>
      <c r="L343" s="14"/>
      <c r="M343" s="14"/>
      <c r="N343" s="14"/>
      <c r="O343" s="14" t="s">
        <v>1259</v>
      </c>
      <c r="P343" s="14"/>
    </row>
    <row r="344" customFormat="false" ht="22.35" hidden="false" customHeight="false" outlineLevel="0" collapsed="false">
      <c r="A344" s="14" t="s">
        <v>1856</v>
      </c>
      <c r="B344" s="14" t="s">
        <v>766</v>
      </c>
      <c r="C344" s="14" t="s">
        <v>767</v>
      </c>
      <c r="D344" s="14" t="s">
        <v>12</v>
      </c>
      <c r="E344" s="14" t="s">
        <v>768</v>
      </c>
      <c r="F344" s="14" t="s">
        <v>769</v>
      </c>
      <c r="G344" s="14" t="s">
        <v>77</v>
      </c>
      <c r="H344" s="14" t="s">
        <v>1084</v>
      </c>
      <c r="I344" s="14" t="s">
        <v>1256</v>
      </c>
      <c r="J344" s="17" t="n">
        <v>2</v>
      </c>
      <c r="K344" s="14"/>
      <c r="L344" s="14"/>
      <c r="M344" s="14"/>
      <c r="N344" s="14"/>
      <c r="O344" s="14" t="s">
        <v>1259</v>
      </c>
      <c r="P344" s="14"/>
    </row>
    <row r="345" customFormat="false" ht="22.35" hidden="false" customHeight="false" outlineLevel="0" collapsed="false">
      <c r="A345" s="14" t="s">
        <v>1857</v>
      </c>
      <c r="B345" s="14" t="s">
        <v>259</v>
      </c>
      <c r="C345" s="14"/>
      <c r="D345" s="14" t="s">
        <v>12</v>
      </c>
      <c r="E345" s="14" t="s">
        <v>260</v>
      </c>
      <c r="F345" s="14" t="s">
        <v>261</v>
      </c>
      <c r="G345" s="14" t="s">
        <v>63</v>
      </c>
      <c r="H345" s="14" t="s">
        <v>1084</v>
      </c>
      <c r="I345" s="14" t="s">
        <v>1256</v>
      </c>
      <c r="J345" s="15" t="n">
        <v>1</v>
      </c>
      <c r="K345" s="14"/>
      <c r="L345" s="14"/>
      <c r="M345" s="14"/>
      <c r="N345" s="14"/>
      <c r="O345" s="14" t="s">
        <v>1858</v>
      </c>
      <c r="P345" s="14"/>
    </row>
    <row r="346" customFormat="false" ht="22.35" hidden="false" customHeight="false" outlineLevel="0" collapsed="false">
      <c r="A346" s="14" t="s">
        <v>1859</v>
      </c>
      <c r="B346" s="14" t="s">
        <v>770</v>
      </c>
      <c r="C346" s="14" t="s">
        <v>771</v>
      </c>
      <c r="D346" s="14" t="s">
        <v>12</v>
      </c>
      <c r="E346" s="14" t="s">
        <v>753</v>
      </c>
      <c r="F346" s="14" t="s">
        <v>215</v>
      </c>
      <c r="G346" s="14" t="s">
        <v>77</v>
      </c>
      <c r="H346" s="14" t="s">
        <v>1084</v>
      </c>
      <c r="I346" s="14" t="s">
        <v>1256</v>
      </c>
      <c r="J346" s="17" t="n">
        <v>2</v>
      </c>
      <c r="K346" s="14"/>
      <c r="L346" s="14"/>
      <c r="M346" s="14"/>
      <c r="N346" s="14"/>
      <c r="O346" s="14" t="s">
        <v>1259</v>
      </c>
      <c r="P346" s="14"/>
    </row>
    <row r="347" customFormat="false" ht="22.35" hidden="false" customHeight="false" outlineLevel="0" collapsed="false">
      <c r="A347" s="14" t="s">
        <v>1860</v>
      </c>
      <c r="B347" s="14" t="s">
        <v>772</v>
      </c>
      <c r="C347" s="14" t="s">
        <v>773</v>
      </c>
      <c r="D347" s="14" t="s">
        <v>12</v>
      </c>
      <c r="E347" s="14" t="s">
        <v>753</v>
      </c>
      <c r="F347" s="14" t="s">
        <v>215</v>
      </c>
      <c r="G347" s="14" t="s">
        <v>77</v>
      </c>
      <c r="H347" s="14" t="s">
        <v>1084</v>
      </c>
      <c r="I347" s="14" t="s">
        <v>1256</v>
      </c>
      <c r="J347" s="17" t="n">
        <v>2</v>
      </c>
      <c r="K347" s="14"/>
      <c r="L347" s="14"/>
      <c r="M347" s="14"/>
      <c r="N347" s="14"/>
      <c r="O347" s="14" t="s">
        <v>1259</v>
      </c>
      <c r="P347" s="14"/>
    </row>
    <row r="348" customFormat="false" ht="22.35" hidden="false" customHeight="false" outlineLevel="0" collapsed="false">
      <c r="A348" s="14" t="s">
        <v>1861</v>
      </c>
      <c r="B348" s="14" t="s">
        <v>774</v>
      </c>
      <c r="C348" s="14" t="s">
        <v>145</v>
      </c>
      <c r="D348" s="14" t="s">
        <v>12</v>
      </c>
      <c r="E348" s="14" t="s">
        <v>775</v>
      </c>
      <c r="F348" s="14" t="s">
        <v>215</v>
      </c>
      <c r="G348" s="14" t="s">
        <v>77</v>
      </c>
      <c r="H348" s="14" t="s">
        <v>1084</v>
      </c>
      <c r="I348" s="14" t="s">
        <v>1256</v>
      </c>
      <c r="J348" s="17" t="n">
        <v>2</v>
      </c>
      <c r="K348" s="14"/>
      <c r="L348" s="14"/>
      <c r="M348" s="14"/>
      <c r="N348" s="14"/>
      <c r="O348" s="14" t="s">
        <v>1259</v>
      </c>
      <c r="P348" s="14"/>
    </row>
    <row r="349" customFormat="false" ht="22.35" hidden="false" customHeight="false" outlineLevel="0" collapsed="false">
      <c r="A349" s="14" t="s">
        <v>1862</v>
      </c>
      <c r="B349" s="14" t="s">
        <v>776</v>
      </c>
      <c r="C349" s="14"/>
      <c r="D349" s="14" t="s">
        <v>12</v>
      </c>
      <c r="E349" s="14" t="s">
        <v>760</v>
      </c>
      <c r="F349" s="14" t="s">
        <v>641</v>
      </c>
      <c r="G349" s="14" t="s">
        <v>642</v>
      </c>
      <c r="H349" s="14" t="s">
        <v>1084</v>
      </c>
      <c r="I349" s="14" t="s">
        <v>1256</v>
      </c>
      <c r="J349" s="17" t="n">
        <v>2</v>
      </c>
      <c r="K349" s="14"/>
      <c r="L349" s="14"/>
      <c r="M349" s="14"/>
      <c r="N349" s="14"/>
      <c r="O349" s="14" t="s">
        <v>1259</v>
      </c>
      <c r="P349" s="14"/>
    </row>
    <row r="350" customFormat="false" ht="22.35" hidden="false" customHeight="false" outlineLevel="0" collapsed="false">
      <c r="A350" s="14" t="s">
        <v>1863</v>
      </c>
      <c r="B350" s="14" t="s">
        <v>777</v>
      </c>
      <c r="C350" s="14"/>
      <c r="D350" s="14" t="s">
        <v>12</v>
      </c>
      <c r="E350" s="14" t="s">
        <v>760</v>
      </c>
      <c r="F350" s="14" t="s">
        <v>215</v>
      </c>
      <c r="G350" s="14" t="s">
        <v>77</v>
      </c>
      <c r="H350" s="14" t="s">
        <v>1084</v>
      </c>
      <c r="I350" s="14" t="s">
        <v>1256</v>
      </c>
      <c r="J350" s="17" t="n">
        <v>2</v>
      </c>
      <c r="K350" s="14"/>
      <c r="L350" s="14"/>
      <c r="M350" s="14"/>
      <c r="N350" s="14"/>
      <c r="O350" s="14" t="s">
        <v>1259</v>
      </c>
      <c r="P350" s="14"/>
    </row>
    <row r="351" customFormat="false" ht="32.8" hidden="false" customHeight="false" outlineLevel="0" collapsed="false">
      <c r="A351" s="14" t="s">
        <v>1864</v>
      </c>
      <c r="B351" s="14" t="s">
        <v>778</v>
      </c>
      <c r="C351" s="14"/>
      <c r="D351" s="14" t="s">
        <v>12</v>
      </c>
      <c r="E351" s="14" t="s">
        <v>753</v>
      </c>
      <c r="F351" s="14" t="s">
        <v>243</v>
      </c>
      <c r="G351" s="14" t="s">
        <v>63</v>
      </c>
      <c r="H351" s="14" t="s">
        <v>1084</v>
      </c>
      <c r="I351" s="14" t="s">
        <v>1256</v>
      </c>
      <c r="J351" s="17" t="n">
        <v>2</v>
      </c>
      <c r="K351" s="14"/>
      <c r="L351" s="14"/>
      <c r="M351" s="14"/>
      <c r="N351" s="14"/>
      <c r="O351" s="14" t="s">
        <v>1865</v>
      </c>
      <c r="P351" s="14" t="s">
        <v>780</v>
      </c>
    </row>
    <row r="352" customFormat="false" ht="22.35" hidden="false" customHeight="false" outlineLevel="0" collapsed="false">
      <c r="A352" s="14" t="s">
        <v>1866</v>
      </c>
      <c r="B352" s="14" t="s">
        <v>781</v>
      </c>
      <c r="C352" s="14"/>
      <c r="D352" s="14" t="s">
        <v>12</v>
      </c>
      <c r="E352" s="14" t="s">
        <v>760</v>
      </c>
      <c r="F352" s="14" t="s">
        <v>641</v>
      </c>
      <c r="G352" s="14" t="s">
        <v>642</v>
      </c>
      <c r="H352" s="14" t="s">
        <v>1084</v>
      </c>
      <c r="I352" s="14" t="s">
        <v>1256</v>
      </c>
      <c r="J352" s="17" t="n">
        <v>2</v>
      </c>
      <c r="K352" s="14"/>
      <c r="L352" s="14"/>
      <c r="M352" s="14"/>
      <c r="N352" s="14"/>
      <c r="O352" s="14" t="s">
        <v>1259</v>
      </c>
      <c r="P352" s="14"/>
    </row>
    <row r="353" customFormat="false" ht="22.35" hidden="false" customHeight="false" outlineLevel="0" collapsed="false">
      <c r="A353" s="14" t="s">
        <v>1867</v>
      </c>
      <c r="B353" s="14" t="s">
        <v>782</v>
      </c>
      <c r="C353" s="14" t="s">
        <v>783</v>
      </c>
      <c r="D353" s="14" t="s">
        <v>12</v>
      </c>
      <c r="E353" s="14" t="s">
        <v>753</v>
      </c>
      <c r="F353" s="14" t="s">
        <v>215</v>
      </c>
      <c r="G353" s="14" t="s">
        <v>77</v>
      </c>
      <c r="H353" s="14" t="s">
        <v>1084</v>
      </c>
      <c r="I353" s="14" t="s">
        <v>1256</v>
      </c>
      <c r="J353" s="17" t="n">
        <v>2</v>
      </c>
      <c r="K353" s="14"/>
      <c r="L353" s="14"/>
      <c r="M353" s="14"/>
      <c r="N353" s="14"/>
      <c r="O353" s="14" t="s">
        <v>1259</v>
      </c>
      <c r="P353" s="14"/>
    </row>
    <row r="354" customFormat="false" ht="22.35" hidden="false" customHeight="false" outlineLevel="0" collapsed="false">
      <c r="A354" s="14" t="s">
        <v>1868</v>
      </c>
      <c r="B354" s="14" t="s">
        <v>784</v>
      </c>
      <c r="C354" s="14"/>
      <c r="D354" s="14" t="s">
        <v>12</v>
      </c>
      <c r="E354" s="14" t="s">
        <v>760</v>
      </c>
      <c r="F354" s="14" t="s">
        <v>62</v>
      </c>
      <c r="G354" s="14" t="s">
        <v>63</v>
      </c>
      <c r="H354" s="14" t="s">
        <v>1084</v>
      </c>
      <c r="I354" s="14" t="s">
        <v>1256</v>
      </c>
      <c r="J354" s="17" t="n">
        <v>2</v>
      </c>
      <c r="K354" s="14"/>
      <c r="L354" s="14"/>
      <c r="M354" s="14"/>
      <c r="N354" s="14"/>
      <c r="O354" s="14" t="s">
        <v>1259</v>
      </c>
      <c r="P354" s="14"/>
    </row>
    <row r="355" customFormat="false" ht="22.35" hidden="false" customHeight="false" outlineLevel="0" collapsed="false">
      <c r="A355" s="14" t="s">
        <v>1869</v>
      </c>
      <c r="B355" s="14" t="s">
        <v>264</v>
      </c>
      <c r="C355" s="14"/>
      <c r="D355" s="14" t="s">
        <v>12</v>
      </c>
      <c r="E355" s="14" t="s">
        <v>236</v>
      </c>
      <c r="F355" s="14" t="s">
        <v>265</v>
      </c>
      <c r="G355" s="14" t="s">
        <v>63</v>
      </c>
      <c r="H355" s="14" t="s">
        <v>1084</v>
      </c>
      <c r="I355" s="14" t="s">
        <v>1256</v>
      </c>
      <c r="J355" s="15" t="n">
        <v>1</v>
      </c>
      <c r="K355" s="14"/>
      <c r="L355" s="14"/>
      <c r="M355" s="14"/>
      <c r="N355" s="14"/>
      <c r="O355" s="14" t="s">
        <v>1870</v>
      </c>
      <c r="P355" s="14"/>
    </row>
    <row r="356" customFormat="false" ht="22.35" hidden="false" customHeight="false" outlineLevel="0" collapsed="false">
      <c r="A356" s="14" t="s">
        <v>1871</v>
      </c>
      <c r="B356" s="14" t="s">
        <v>785</v>
      </c>
      <c r="C356" s="14"/>
      <c r="D356" s="14" t="s">
        <v>12</v>
      </c>
      <c r="E356" s="14" t="s">
        <v>753</v>
      </c>
      <c r="F356" s="14" t="s">
        <v>215</v>
      </c>
      <c r="G356" s="14" t="s">
        <v>77</v>
      </c>
      <c r="H356" s="14" t="s">
        <v>1084</v>
      </c>
      <c r="I356" s="14" t="s">
        <v>1256</v>
      </c>
      <c r="J356" s="17" t="n">
        <v>2</v>
      </c>
      <c r="K356" s="14"/>
      <c r="L356" s="14"/>
      <c r="M356" s="14"/>
      <c r="N356" s="14"/>
      <c r="O356" s="14" t="s">
        <v>1259</v>
      </c>
      <c r="P356" s="14" t="s">
        <v>786</v>
      </c>
    </row>
    <row r="357" customFormat="false" ht="22.35" hidden="false" customHeight="false" outlineLevel="0" collapsed="false">
      <c r="A357" s="14" t="s">
        <v>1872</v>
      </c>
      <c r="B357" s="14" t="s">
        <v>787</v>
      </c>
      <c r="C357" s="14" t="s">
        <v>565</v>
      </c>
      <c r="D357" s="14" t="s">
        <v>12</v>
      </c>
      <c r="E357" s="14" t="s">
        <v>788</v>
      </c>
      <c r="F357" s="14" t="s">
        <v>62</v>
      </c>
      <c r="G357" s="14" t="s">
        <v>63</v>
      </c>
      <c r="H357" s="14" t="s">
        <v>1084</v>
      </c>
      <c r="I357" s="14" t="s">
        <v>1256</v>
      </c>
      <c r="J357" s="17" t="n">
        <v>2</v>
      </c>
      <c r="K357" s="14"/>
      <c r="L357" s="14"/>
      <c r="M357" s="14"/>
      <c r="N357" s="14"/>
      <c r="O357" s="14" t="s">
        <v>1259</v>
      </c>
      <c r="P357" s="14"/>
    </row>
    <row r="358" customFormat="false" ht="22.35" hidden="false" customHeight="false" outlineLevel="0" collapsed="false">
      <c r="A358" s="14" t="s">
        <v>1873</v>
      </c>
      <c r="B358" s="14" t="s">
        <v>267</v>
      </c>
      <c r="C358" s="14"/>
      <c r="D358" s="14" t="s">
        <v>12</v>
      </c>
      <c r="E358" s="14" t="s">
        <v>268</v>
      </c>
      <c r="F358" s="14" t="s">
        <v>269</v>
      </c>
      <c r="G358" s="14" t="s">
        <v>63</v>
      </c>
      <c r="H358" s="14" t="s">
        <v>1084</v>
      </c>
      <c r="I358" s="14" t="s">
        <v>1256</v>
      </c>
      <c r="J358" s="15" t="n">
        <v>1</v>
      </c>
      <c r="K358" s="14"/>
      <c r="L358" s="14"/>
      <c r="M358" s="14"/>
      <c r="N358" s="14"/>
      <c r="O358" s="14" t="s">
        <v>1874</v>
      </c>
      <c r="P358" s="14"/>
    </row>
    <row r="359" customFormat="false" ht="22.35" hidden="false" customHeight="false" outlineLevel="0" collapsed="false">
      <c r="A359" s="14" t="s">
        <v>1875</v>
      </c>
      <c r="B359" s="14" t="s">
        <v>789</v>
      </c>
      <c r="C359" s="14" t="s">
        <v>790</v>
      </c>
      <c r="D359" s="14" t="s">
        <v>12</v>
      </c>
      <c r="E359" s="14" t="s">
        <v>753</v>
      </c>
      <c r="F359" s="14" t="s">
        <v>215</v>
      </c>
      <c r="G359" s="14" t="s">
        <v>77</v>
      </c>
      <c r="H359" s="14" t="s">
        <v>1084</v>
      </c>
      <c r="I359" s="14" t="s">
        <v>1256</v>
      </c>
      <c r="J359" s="17" t="n">
        <v>2</v>
      </c>
      <c r="K359" s="14"/>
      <c r="L359" s="14"/>
      <c r="M359" s="14"/>
      <c r="N359" s="14"/>
      <c r="O359" s="14" t="s">
        <v>1259</v>
      </c>
      <c r="P359" s="14"/>
    </row>
    <row r="360" customFormat="false" ht="22.35" hidden="false" customHeight="false" outlineLevel="0" collapsed="false">
      <c r="A360" s="14" t="s">
        <v>1876</v>
      </c>
      <c r="B360" s="14" t="s">
        <v>791</v>
      </c>
      <c r="C360" s="14" t="s">
        <v>792</v>
      </c>
      <c r="D360" s="14" t="s">
        <v>12</v>
      </c>
      <c r="E360" s="14" t="s">
        <v>753</v>
      </c>
      <c r="F360" s="14" t="s">
        <v>147</v>
      </c>
      <c r="G360" s="14" t="s">
        <v>63</v>
      </c>
      <c r="H360" s="14" t="s">
        <v>1084</v>
      </c>
      <c r="I360" s="14" t="s">
        <v>1256</v>
      </c>
      <c r="J360" s="17" t="n">
        <v>2</v>
      </c>
      <c r="K360" s="14"/>
      <c r="L360" s="14"/>
      <c r="M360" s="14"/>
      <c r="N360" s="14"/>
      <c r="O360" s="14" t="s">
        <v>1259</v>
      </c>
      <c r="P360" s="14"/>
    </row>
    <row r="361" customFormat="false" ht="22.35" hidden="false" customHeight="false" outlineLevel="0" collapsed="false">
      <c r="A361" s="14" t="s">
        <v>1877</v>
      </c>
      <c r="B361" s="14" t="s">
        <v>272</v>
      </c>
      <c r="C361" s="14" t="s">
        <v>273</v>
      </c>
      <c r="D361" s="14" t="s">
        <v>12</v>
      </c>
      <c r="E361" s="14" t="s">
        <v>274</v>
      </c>
      <c r="F361" s="14" t="s">
        <v>215</v>
      </c>
      <c r="G361" s="14" t="s">
        <v>77</v>
      </c>
      <c r="H361" s="14" t="s">
        <v>1084</v>
      </c>
      <c r="I361" s="14" t="s">
        <v>1256</v>
      </c>
      <c r="J361" s="15" t="n">
        <v>1</v>
      </c>
      <c r="K361" s="14"/>
      <c r="L361" s="14"/>
      <c r="M361" s="14"/>
      <c r="N361" s="14"/>
      <c r="O361" s="14" t="s">
        <v>1878</v>
      </c>
      <c r="P361" s="14" t="s">
        <v>280</v>
      </c>
    </row>
    <row r="362" customFormat="false" ht="22.35" hidden="false" customHeight="false" outlineLevel="0" collapsed="false">
      <c r="A362" s="14" t="s">
        <v>1879</v>
      </c>
      <c r="B362" s="14" t="s">
        <v>793</v>
      </c>
      <c r="C362" s="14" t="s">
        <v>273</v>
      </c>
      <c r="D362" s="14" t="s">
        <v>12</v>
      </c>
      <c r="E362" s="14" t="s">
        <v>760</v>
      </c>
      <c r="F362" s="14" t="s">
        <v>62</v>
      </c>
      <c r="G362" s="14" t="s">
        <v>63</v>
      </c>
      <c r="H362" s="14" t="s">
        <v>1084</v>
      </c>
      <c r="I362" s="14" t="s">
        <v>1256</v>
      </c>
      <c r="J362" s="17" t="n">
        <v>2</v>
      </c>
      <c r="K362" s="14"/>
      <c r="L362" s="14"/>
      <c r="M362" s="14"/>
      <c r="N362" s="14"/>
      <c r="O362" s="14" t="s">
        <v>1259</v>
      </c>
      <c r="P362" s="14"/>
    </row>
    <row r="363" customFormat="false" ht="22.35" hidden="false" customHeight="false" outlineLevel="0" collapsed="false">
      <c r="A363" s="14" t="s">
        <v>1880</v>
      </c>
      <c r="B363" s="14" t="s">
        <v>794</v>
      </c>
      <c r="C363" s="14" t="s">
        <v>273</v>
      </c>
      <c r="D363" s="14" t="s">
        <v>12</v>
      </c>
      <c r="E363" s="14" t="s">
        <v>760</v>
      </c>
      <c r="F363" s="14" t="s">
        <v>625</v>
      </c>
      <c r="G363" s="14" t="s">
        <v>493</v>
      </c>
      <c r="H363" s="14" t="s">
        <v>1084</v>
      </c>
      <c r="I363" s="14" t="s">
        <v>1256</v>
      </c>
      <c r="J363" s="17" t="n">
        <v>2</v>
      </c>
      <c r="K363" s="14"/>
      <c r="L363" s="14"/>
      <c r="M363" s="14"/>
      <c r="N363" s="14"/>
      <c r="O363" s="14" t="s">
        <v>1259</v>
      </c>
      <c r="P363" s="14"/>
    </row>
    <row r="364" customFormat="false" ht="22.35" hidden="false" customHeight="false" outlineLevel="0" collapsed="false">
      <c r="A364" s="14" t="s">
        <v>1881</v>
      </c>
      <c r="B364" s="14" t="s">
        <v>795</v>
      </c>
      <c r="C364" s="14" t="s">
        <v>796</v>
      </c>
      <c r="D364" s="14" t="s">
        <v>12</v>
      </c>
      <c r="E364" s="14" t="s">
        <v>760</v>
      </c>
      <c r="F364" s="14" t="s">
        <v>641</v>
      </c>
      <c r="G364" s="14" t="s">
        <v>642</v>
      </c>
      <c r="H364" s="14" t="s">
        <v>1084</v>
      </c>
      <c r="I364" s="14" t="s">
        <v>1256</v>
      </c>
      <c r="J364" s="17" t="n">
        <v>2</v>
      </c>
      <c r="K364" s="14"/>
      <c r="L364" s="14"/>
      <c r="M364" s="14"/>
      <c r="N364" s="14"/>
      <c r="O364" s="14" t="s">
        <v>1259</v>
      </c>
      <c r="P364" s="14"/>
    </row>
    <row r="365" customFormat="false" ht="22.35" hidden="false" customHeight="false" outlineLevel="0" collapsed="false">
      <c r="A365" s="14" t="s">
        <v>1882</v>
      </c>
      <c r="B365" s="14" t="s">
        <v>281</v>
      </c>
      <c r="C365" s="14" t="s">
        <v>282</v>
      </c>
      <c r="D365" s="14" t="s">
        <v>12</v>
      </c>
      <c r="E365" s="14" t="s">
        <v>283</v>
      </c>
      <c r="F365" s="14" t="s">
        <v>215</v>
      </c>
      <c r="G365" s="14" t="s">
        <v>77</v>
      </c>
      <c r="H365" s="14" t="s">
        <v>1084</v>
      </c>
      <c r="I365" s="14" t="s">
        <v>1256</v>
      </c>
      <c r="J365" s="15" t="n">
        <v>1</v>
      </c>
      <c r="K365" s="14"/>
      <c r="L365" s="14"/>
      <c r="M365" s="14"/>
      <c r="N365" s="14"/>
      <c r="O365" s="14" t="s">
        <v>1259</v>
      </c>
      <c r="P365" s="14"/>
    </row>
    <row r="366" customFormat="false" ht="32.8" hidden="false" customHeight="false" outlineLevel="0" collapsed="false">
      <c r="A366" s="14" t="s">
        <v>1883</v>
      </c>
      <c r="B366" s="14" t="s">
        <v>287</v>
      </c>
      <c r="C366" s="14"/>
      <c r="D366" s="14" t="s">
        <v>12</v>
      </c>
      <c r="E366" s="14" t="s">
        <v>236</v>
      </c>
      <c r="F366" s="14" t="s">
        <v>243</v>
      </c>
      <c r="G366" s="14" t="s">
        <v>63</v>
      </c>
      <c r="H366" s="14" t="s">
        <v>1084</v>
      </c>
      <c r="I366" s="14" t="s">
        <v>1256</v>
      </c>
      <c r="J366" s="15" t="n">
        <v>1</v>
      </c>
      <c r="K366" s="14"/>
      <c r="L366" s="14"/>
      <c r="M366" s="14"/>
      <c r="N366" s="14"/>
      <c r="O366" s="14" t="s">
        <v>1884</v>
      </c>
      <c r="P366" s="14"/>
    </row>
    <row r="367" customFormat="false" ht="22.35" hidden="false" customHeight="false" outlineLevel="0" collapsed="false">
      <c r="A367" s="14" t="s">
        <v>1885</v>
      </c>
      <c r="B367" s="14" t="s">
        <v>290</v>
      </c>
      <c r="C367" s="14" t="s">
        <v>291</v>
      </c>
      <c r="D367" s="14" t="s">
        <v>12</v>
      </c>
      <c r="E367" s="14" t="s">
        <v>292</v>
      </c>
      <c r="F367" s="14" t="s">
        <v>293</v>
      </c>
      <c r="G367" s="14" t="s">
        <v>77</v>
      </c>
      <c r="H367" s="14" t="s">
        <v>1084</v>
      </c>
      <c r="I367" s="14" t="s">
        <v>1256</v>
      </c>
      <c r="J367" s="15" t="n">
        <v>1</v>
      </c>
      <c r="K367" s="14"/>
      <c r="L367" s="14"/>
      <c r="M367" s="14"/>
      <c r="N367" s="14"/>
      <c r="O367" s="14" t="s">
        <v>1259</v>
      </c>
      <c r="P367" s="14"/>
    </row>
    <row r="368" customFormat="false" ht="22.35" hidden="false" customHeight="false" outlineLevel="0" collapsed="false">
      <c r="A368" s="14" t="s">
        <v>1886</v>
      </c>
      <c r="B368" s="14" t="s">
        <v>797</v>
      </c>
      <c r="C368" s="14" t="s">
        <v>798</v>
      </c>
      <c r="D368" s="14" t="s">
        <v>12</v>
      </c>
      <c r="E368" s="14" t="s">
        <v>753</v>
      </c>
      <c r="F368" s="14" t="s">
        <v>62</v>
      </c>
      <c r="G368" s="14" t="s">
        <v>63</v>
      </c>
      <c r="H368" s="14" t="s">
        <v>1084</v>
      </c>
      <c r="I368" s="14" t="s">
        <v>1256</v>
      </c>
      <c r="J368" s="17" t="n">
        <v>2</v>
      </c>
      <c r="K368" s="14"/>
      <c r="L368" s="14"/>
      <c r="M368" s="14"/>
      <c r="N368" s="14"/>
      <c r="O368" s="14" t="s">
        <v>1259</v>
      </c>
      <c r="P368" s="14"/>
    </row>
    <row r="369" customFormat="false" ht="22.35" hidden="false" customHeight="false" outlineLevel="0" collapsed="false">
      <c r="A369" s="14" t="s">
        <v>1887</v>
      </c>
      <c r="B369" s="14" t="s">
        <v>799</v>
      </c>
      <c r="C369" s="14" t="s">
        <v>800</v>
      </c>
      <c r="D369" s="14" t="s">
        <v>12</v>
      </c>
      <c r="E369" s="14" t="s">
        <v>292</v>
      </c>
      <c r="F369" s="14" t="s">
        <v>215</v>
      </c>
      <c r="G369" s="14" t="s">
        <v>77</v>
      </c>
      <c r="H369" s="14" t="s">
        <v>1084</v>
      </c>
      <c r="I369" s="14" t="s">
        <v>1256</v>
      </c>
      <c r="J369" s="17" t="n">
        <v>2</v>
      </c>
      <c r="K369" s="14"/>
      <c r="L369" s="14"/>
      <c r="M369" s="14"/>
      <c r="N369" s="14"/>
      <c r="O369" s="14" t="s">
        <v>1259</v>
      </c>
      <c r="P369" s="14"/>
    </row>
    <row r="370" customFormat="false" ht="15" hidden="false" customHeight="false" outlineLevel="0" collapsed="false">
      <c r="A370" s="14" t="s">
        <v>1888</v>
      </c>
      <c r="B370" s="14" t="s">
        <v>1889</v>
      </c>
      <c r="C370" s="14" t="s">
        <v>1890</v>
      </c>
      <c r="D370" s="14" t="s">
        <v>15</v>
      </c>
      <c r="E370" s="14" t="s">
        <v>1396</v>
      </c>
      <c r="F370" s="14" t="s">
        <v>215</v>
      </c>
      <c r="G370" s="14" t="s">
        <v>77</v>
      </c>
      <c r="H370" s="14" t="s">
        <v>1278</v>
      </c>
      <c r="I370" s="14" t="s">
        <v>1256</v>
      </c>
      <c r="J370" s="14"/>
      <c r="K370" s="14"/>
      <c r="L370" s="14"/>
      <c r="M370" s="14"/>
      <c r="N370" s="14"/>
      <c r="O370" s="14" t="s">
        <v>1279</v>
      </c>
      <c r="P370" s="14"/>
    </row>
    <row r="371" customFormat="false" ht="15" hidden="false" customHeight="false" outlineLevel="0" collapsed="false">
      <c r="A371" s="14" t="s">
        <v>1891</v>
      </c>
      <c r="B371" s="14" t="s">
        <v>1892</v>
      </c>
      <c r="C371" s="14"/>
      <c r="D371" s="14" t="s">
        <v>15</v>
      </c>
      <c r="E371" s="14" t="s">
        <v>1396</v>
      </c>
      <c r="F371" s="14"/>
      <c r="G371" s="14"/>
      <c r="H371" s="14" t="s">
        <v>1278</v>
      </c>
      <c r="I371" s="14" t="s">
        <v>1256</v>
      </c>
      <c r="J371" s="14"/>
      <c r="K371" s="14"/>
      <c r="L371" s="14"/>
      <c r="M371" s="14"/>
      <c r="N371" s="14"/>
      <c r="O371" s="14" t="s">
        <v>1279</v>
      </c>
      <c r="P371" s="14"/>
    </row>
    <row r="372" customFormat="false" ht="15" hidden="false" customHeight="false" outlineLevel="0" collapsed="false">
      <c r="A372" s="14" t="s">
        <v>1893</v>
      </c>
      <c r="B372" s="14" t="s">
        <v>1894</v>
      </c>
      <c r="C372" s="14" t="s">
        <v>1337</v>
      </c>
      <c r="D372" s="14" t="s">
        <v>15</v>
      </c>
      <c r="E372" s="14" t="s">
        <v>1396</v>
      </c>
      <c r="F372" s="14" t="s">
        <v>856</v>
      </c>
      <c r="G372" s="14" t="s">
        <v>77</v>
      </c>
      <c r="H372" s="14" t="s">
        <v>1278</v>
      </c>
      <c r="I372" s="14" t="s">
        <v>1256</v>
      </c>
      <c r="J372" s="14"/>
      <c r="K372" s="14"/>
      <c r="L372" s="14"/>
      <c r="M372" s="14"/>
      <c r="N372" s="14"/>
      <c r="O372" s="14" t="s">
        <v>1279</v>
      </c>
      <c r="P372" s="14"/>
    </row>
    <row r="373" customFormat="false" ht="15" hidden="false" customHeight="false" outlineLevel="0" collapsed="false">
      <c r="A373" s="14" t="s">
        <v>1895</v>
      </c>
      <c r="B373" s="14" t="s">
        <v>1896</v>
      </c>
      <c r="C373" s="14"/>
      <c r="D373" s="14" t="s">
        <v>15</v>
      </c>
      <c r="E373" s="14" t="s">
        <v>1396</v>
      </c>
      <c r="F373" s="14"/>
      <c r="G373" s="14"/>
      <c r="H373" s="14" t="s">
        <v>1278</v>
      </c>
      <c r="I373" s="14" t="s">
        <v>1256</v>
      </c>
      <c r="J373" s="14"/>
      <c r="K373" s="14"/>
      <c r="L373" s="14"/>
      <c r="M373" s="14"/>
      <c r="N373" s="14"/>
      <c r="O373" s="14" t="s">
        <v>1279</v>
      </c>
      <c r="P373" s="14"/>
    </row>
    <row r="374" customFormat="false" ht="15" hidden="false" customHeight="false" outlineLevel="0" collapsed="false">
      <c r="A374" s="14" t="s">
        <v>1897</v>
      </c>
      <c r="B374" s="14" t="s">
        <v>1898</v>
      </c>
      <c r="C374" s="14"/>
      <c r="D374" s="14" t="s">
        <v>15</v>
      </c>
      <c r="E374" s="14" t="s">
        <v>1396</v>
      </c>
      <c r="F374" s="14"/>
      <c r="G374" s="14"/>
      <c r="H374" s="14" t="s">
        <v>1278</v>
      </c>
      <c r="I374" s="14" t="s">
        <v>1256</v>
      </c>
      <c r="J374" s="14"/>
      <c r="K374" s="14"/>
      <c r="L374" s="14"/>
      <c r="M374" s="14"/>
      <c r="N374" s="14"/>
      <c r="O374" s="14" t="s">
        <v>1279</v>
      </c>
      <c r="P374" s="14"/>
    </row>
    <row r="375" customFormat="false" ht="15" hidden="false" customHeight="false" outlineLevel="0" collapsed="false">
      <c r="A375" s="14" t="s">
        <v>1899</v>
      </c>
      <c r="B375" s="14" t="s">
        <v>1900</v>
      </c>
      <c r="C375" s="14" t="s">
        <v>840</v>
      </c>
      <c r="D375" s="14" t="s">
        <v>15</v>
      </c>
      <c r="E375" s="14" t="s">
        <v>1396</v>
      </c>
      <c r="F375" s="14" t="s">
        <v>215</v>
      </c>
      <c r="G375" s="14" t="s">
        <v>77</v>
      </c>
      <c r="H375" s="14" t="s">
        <v>1278</v>
      </c>
      <c r="I375" s="14" t="s">
        <v>1256</v>
      </c>
      <c r="J375" s="14"/>
      <c r="K375" s="14"/>
      <c r="L375" s="14"/>
      <c r="M375" s="14"/>
      <c r="N375" s="14"/>
      <c r="O375" s="14" t="s">
        <v>1279</v>
      </c>
      <c r="P375" s="14" t="s">
        <v>843</v>
      </c>
    </row>
    <row r="376" customFormat="false" ht="15" hidden="false" customHeight="false" outlineLevel="0" collapsed="false">
      <c r="A376" s="14" t="s">
        <v>1901</v>
      </c>
      <c r="B376" s="14" t="s">
        <v>1902</v>
      </c>
      <c r="C376" s="14"/>
      <c r="D376" s="14" t="s">
        <v>15</v>
      </c>
      <c r="E376" s="14" t="s">
        <v>1396</v>
      </c>
      <c r="F376" s="14"/>
      <c r="G376" s="14"/>
      <c r="H376" s="14" t="s">
        <v>1278</v>
      </c>
      <c r="I376" s="14" t="s">
        <v>1256</v>
      </c>
      <c r="J376" s="14"/>
      <c r="K376" s="14"/>
      <c r="L376" s="14"/>
      <c r="M376" s="14"/>
      <c r="N376" s="14"/>
      <c r="O376" s="14" t="s">
        <v>1279</v>
      </c>
      <c r="P376" s="14"/>
    </row>
    <row r="377" customFormat="false" ht="15" hidden="false" customHeight="false" outlineLevel="0" collapsed="false">
      <c r="A377" s="14" t="s">
        <v>1903</v>
      </c>
      <c r="B377" s="14" t="s">
        <v>1904</v>
      </c>
      <c r="C377" s="14" t="s">
        <v>468</v>
      </c>
      <c r="D377" s="14" t="s">
        <v>15</v>
      </c>
      <c r="E377" s="14" t="s">
        <v>1396</v>
      </c>
      <c r="F377" s="14" t="s">
        <v>76</v>
      </c>
      <c r="G377" s="14" t="s">
        <v>77</v>
      </c>
      <c r="H377" s="14" t="s">
        <v>1278</v>
      </c>
      <c r="I377" s="14" t="s">
        <v>1256</v>
      </c>
      <c r="J377" s="14"/>
      <c r="K377" s="14"/>
      <c r="L377" s="14"/>
      <c r="M377" s="14"/>
      <c r="N377" s="14"/>
      <c r="O377" s="14" t="s">
        <v>1279</v>
      </c>
      <c r="P377" s="14"/>
    </row>
    <row r="378" customFormat="false" ht="22.35" hidden="false" customHeight="false" outlineLevel="0" collapsed="false">
      <c r="A378" s="14" t="s">
        <v>1905</v>
      </c>
      <c r="B378" s="14" t="s">
        <v>1906</v>
      </c>
      <c r="C378" s="14" t="s">
        <v>1907</v>
      </c>
      <c r="D378" s="14" t="s">
        <v>15</v>
      </c>
      <c r="E378" s="14" t="s">
        <v>1396</v>
      </c>
      <c r="F378" s="14" t="s">
        <v>76</v>
      </c>
      <c r="G378" s="14" t="s">
        <v>77</v>
      </c>
      <c r="H378" s="14" t="s">
        <v>1278</v>
      </c>
      <c r="I378" s="14" t="s">
        <v>1256</v>
      </c>
      <c r="J378" s="14"/>
      <c r="K378" s="14"/>
      <c r="L378" s="14"/>
      <c r="M378" s="14"/>
      <c r="N378" s="14"/>
      <c r="O378" s="14" t="s">
        <v>1279</v>
      </c>
      <c r="P378" s="14"/>
    </row>
    <row r="379" customFormat="false" ht="15" hidden="false" customHeight="false" outlineLevel="0" collapsed="false">
      <c r="A379" s="14" t="s">
        <v>1908</v>
      </c>
      <c r="B379" s="14" t="s">
        <v>1909</v>
      </c>
      <c r="C379" s="14" t="s">
        <v>725</v>
      </c>
      <c r="D379" s="14" t="s">
        <v>15</v>
      </c>
      <c r="E379" s="14" t="s">
        <v>1396</v>
      </c>
      <c r="F379" s="14" t="s">
        <v>727</v>
      </c>
      <c r="G379" s="14" t="s">
        <v>77</v>
      </c>
      <c r="H379" s="14" t="s">
        <v>1278</v>
      </c>
      <c r="I379" s="14" t="s">
        <v>1256</v>
      </c>
      <c r="J379" s="14"/>
      <c r="K379" s="14"/>
      <c r="L379" s="14"/>
      <c r="M379" s="14"/>
      <c r="N379" s="14"/>
      <c r="O379" s="14" t="s">
        <v>1279</v>
      </c>
      <c r="P379" s="14"/>
    </row>
    <row r="380" customFormat="false" ht="15" hidden="false" customHeight="false" outlineLevel="0" collapsed="false">
      <c r="A380" s="14" t="s">
        <v>1910</v>
      </c>
      <c r="B380" s="14" t="s">
        <v>1911</v>
      </c>
      <c r="C380" s="14"/>
      <c r="D380" s="14" t="s">
        <v>15</v>
      </c>
      <c r="E380" s="14" t="s">
        <v>1396</v>
      </c>
      <c r="F380" s="14"/>
      <c r="G380" s="14"/>
      <c r="H380" s="14" t="s">
        <v>1278</v>
      </c>
      <c r="I380" s="14" t="s">
        <v>1256</v>
      </c>
      <c r="J380" s="14"/>
      <c r="K380" s="14"/>
      <c r="L380" s="14"/>
      <c r="M380" s="14"/>
      <c r="N380" s="14"/>
      <c r="O380" s="14" t="s">
        <v>1279</v>
      </c>
      <c r="P380" s="14"/>
    </row>
    <row r="381" customFormat="false" ht="15" hidden="false" customHeight="false" outlineLevel="0" collapsed="false">
      <c r="A381" s="14" t="s">
        <v>1912</v>
      </c>
      <c r="B381" s="14" t="s">
        <v>1913</v>
      </c>
      <c r="C381" s="14" t="s">
        <v>1914</v>
      </c>
      <c r="D381" s="14" t="s">
        <v>15</v>
      </c>
      <c r="E381" s="14" t="s">
        <v>1396</v>
      </c>
      <c r="F381" s="14" t="s">
        <v>856</v>
      </c>
      <c r="G381" s="14" t="s">
        <v>77</v>
      </c>
      <c r="H381" s="14" t="s">
        <v>1278</v>
      </c>
      <c r="I381" s="14" t="s">
        <v>1256</v>
      </c>
      <c r="J381" s="14"/>
      <c r="K381" s="14"/>
      <c r="L381" s="14"/>
      <c r="M381" s="14"/>
      <c r="N381" s="14"/>
      <c r="O381" s="14" t="s">
        <v>1279</v>
      </c>
      <c r="P381" s="14"/>
    </row>
    <row r="382" customFormat="false" ht="22.35" hidden="false" customHeight="false" outlineLevel="0" collapsed="false">
      <c r="A382" s="14" t="s">
        <v>1915</v>
      </c>
      <c r="B382" s="14" t="s">
        <v>801</v>
      </c>
      <c r="C382" s="14"/>
      <c r="D382" s="14" t="s">
        <v>15</v>
      </c>
      <c r="E382" s="14" t="s">
        <v>802</v>
      </c>
      <c r="F382" s="14" t="s">
        <v>803</v>
      </c>
      <c r="G382" s="14" t="s">
        <v>63</v>
      </c>
      <c r="H382" s="14" t="s">
        <v>1084</v>
      </c>
      <c r="I382" s="14" t="s">
        <v>1256</v>
      </c>
      <c r="J382" s="17" t="n">
        <v>2</v>
      </c>
      <c r="K382" s="14"/>
      <c r="L382" s="14"/>
      <c r="M382" s="14"/>
      <c r="N382" s="14"/>
      <c r="O382" s="14" t="s">
        <v>1259</v>
      </c>
      <c r="P382" s="14"/>
    </row>
    <row r="383" customFormat="false" ht="22.35" hidden="false" customHeight="false" outlineLevel="0" collapsed="false">
      <c r="A383" s="14" t="s">
        <v>1916</v>
      </c>
      <c r="B383" s="14" t="s">
        <v>807</v>
      </c>
      <c r="C383" s="14" t="s">
        <v>60</v>
      </c>
      <c r="D383" s="14" t="s">
        <v>15</v>
      </c>
      <c r="E383" s="14" t="s">
        <v>808</v>
      </c>
      <c r="F383" s="14" t="s">
        <v>188</v>
      </c>
      <c r="G383" s="14" t="s">
        <v>63</v>
      </c>
      <c r="H383" s="14" t="s">
        <v>1084</v>
      </c>
      <c r="I383" s="14" t="s">
        <v>1256</v>
      </c>
      <c r="J383" s="17" t="n">
        <v>2</v>
      </c>
      <c r="K383" s="14"/>
      <c r="L383" s="14"/>
      <c r="M383" s="14"/>
      <c r="N383" s="14"/>
      <c r="O383" s="14" t="s">
        <v>1259</v>
      </c>
      <c r="P383" s="14" t="s">
        <v>70</v>
      </c>
    </row>
    <row r="384" customFormat="false" ht="15" hidden="false" customHeight="false" outlineLevel="0" collapsed="false">
      <c r="A384" s="14" t="s">
        <v>1917</v>
      </c>
      <c r="B384" s="14" t="s">
        <v>809</v>
      </c>
      <c r="C384" s="14" t="s">
        <v>222</v>
      </c>
      <c r="D384" s="14" t="s">
        <v>15</v>
      </c>
      <c r="E384" s="14" t="s">
        <v>810</v>
      </c>
      <c r="F384" s="14" t="s">
        <v>147</v>
      </c>
      <c r="G384" s="14" t="s">
        <v>63</v>
      </c>
      <c r="H384" s="14" t="s">
        <v>1084</v>
      </c>
      <c r="I384" s="14" t="s">
        <v>1256</v>
      </c>
      <c r="J384" s="17" t="n">
        <v>2</v>
      </c>
      <c r="K384" s="14"/>
      <c r="L384" s="14"/>
      <c r="M384" s="14"/>
      <c r="N384" s="14"/>
      <c r="O384" s="14" t="s">
        <v>1918</v>
      </c>
      <c r="P384" s="14"/>
    </row>
    <row r="385" customFormat="false" ht="22.35" hidden="false" customHeight="false" outlineLevel="0" collapsed="false">
      <c r="A385" s="14" t="s">
        <v>1919</v>
      </c>
      <c r="B385" s="14" t="s">
        <v>812</v>
      </c>
      <c r="C385" s="14" t="s">
        <v>813</v>
      </c>
      <c r="D385" s="14" t="s">
        <v>15</v>
      </c>
      <c r="E385" s="14" t="s">
        <v>299</v>
      </c>
      <c r="F385" s="14" t="s">
        <v>306</v>
      </c>
      <c r="G385" s="14" t="s">
        <v>307</v>
      </c>
      <c r="H385" s="14" t="s">
        <v>1084</v>
      </c>
      <c r="I385" s="14" t="s">
        <v>1256</v>
      </c>
      <c r="J385" s="17" t="n">
        <v>2</v>
      </c>
      <c r="K385" s="14"/>
      <c r="L385" s="14"/>
      <c r="M385" s="14"/>
      <c r="N385" s="14"/>
      <c r="O385" s="14" t="s">
        <v>1259</v>
      </c>
      <c r="P385" s="14"/>
    </row>
    <row r="386" customFormat="false" ht="22.35" hidden="false" customHeight="false" outlineLevel="0" collapsed="false">
      <c r="A386" s="14" t="s">
        <v>1920</v>
      </c>
      <c r="B386" s="14" t="s">
        <v>814</v>
      </c>
      <c r="C386" s="14" t="s">
        <v>104</v>
      </c>
      <c r="D386" s="14" t="s">
        <v>15</v>
      </c>
      <c r="E386" s="14" t="s">
        <v>815</v>
      </c>
      <c r="F386" s="14" t="s">
        <v>644</v>
      </c>
      <c r="G386" s="14" t="s">
        <v>63</v>
      </c>
      <c r="H386" s="14" t="s">
        <v>1084</v>
      </c>
      <c r="I386" s="14" t="s">
        <v>1256</v>
      </c>
      <c r="J386" s="17" t="n">
        <v>2</v>
      </c>
      <c r="K386" s="14"/>
      <c r="L386" s="14"/>
      <c r="M386" s="14"/>
      <c r="N386" s="14"/>
      <c r="O386" s="14" t="s">
        <v>1259</v>
      </c>
      <c r="P386" s="14"/>
    </row>
    <row r="387" customFormat="false" ht="22.35" hidden="false" customHeight="false" outlineLevel="0" collapsed="false">
      <c r="A387" s="14" t="s">
        <v>1921</v>
      </c>
      <c r="B387" s="14" t="s">
        <v>816</v>
      </c>
      <c r="C387" s="14" t="s">
        <v>104</v>
      </c>
      <c r="D387" s="14" t="s">
        <v>15</v>
      </c>
      <c r="E387" s="14" t="s">
        <v>815</v>
      </c>
      <c r="F387" s="14" t="s">
        <v>736</v>
      </c>
      <c r="G387" s="14" t="s">
        <v>77</v>
      </c>
      <c r="H387" s="14" t="s">
        <v>1084</v>
      </c>
      <c r="I387" s="14" t="s">
        <v>1256</v>
      </c>
      <c r="J387" s="17" t="n">
        <v>2</v>
      </c>
      <c r="K387" s="14"/>
      <c r="L387" s="14"/>
      <c r="M387" s="14"/>
      <c r="N387" s="14"/>
      <c r="O387" s="14" t="s">
        <v>1259</v>
      </c>
      <c r="P387" s="14"/>
    </row>
    <row r="388" customFormat="false" ht="22.35" hidden="false" customHeight="false" outlineLevel="0" collapsed="false">
      <c r="A388" s="14" t="s">
        <v>1922</v>
      </c>
      <c r="B388" s="14" t="s">
        <v>817</v>
      </c>
      <c r="C388" s="14"/>
      <c r="D388" s="14" t="s">
        <v>15</v>
      </c>
      <c r="E388" s="14" t="s">
        <v>815</v>
      </c>
      <c r="F388" s="14" t="s">
        <v>818</v>
      </c>
      <c r="G388" s="14" t="s">
        <v>63</v>
      </c>
      <c r="H388" s="14" t="s">
        <v>1084</v>
      </c>
      <c r="I388" s="14" t="s">
        <v>1256</v>
      </c>
      <c r="J388" s="17" t="n">
        <v>2</v>
      </c>
      <c r="K388" s="14"/>
      <c r="L388" s="14"/>
      <c r="M388" s="14"/>
      <c r="N388" s="14"/>
      <c r="O388" s="14" t="s">
        <v>1259</v>
      </c>
      <c r="P388" s="14"/>
    </row>
    <row r="389" customFormat="false" ht="22.35" hidden="false" customHeight="false" outlineLevel="0" collapsed="false">
      <c r="A389" s="14" t="s">
        <v>1923</v>
      </c>
      <c r="B389" s="14" t="s">
        <v>297</v>
      </c>
      <c r="C389" s="14" t="s">
        <v>298</v>
      </c>
      <c r="D389" s="14" t="s">
        <v>15</v>
      </c>
      <c r="E389" s="14" t="s">
        <v>299</v>
      </c>
      <c r="F389" s="14" t="s">
        <v>300</v>
      </c>
      <c r="G389" s="14" t="s">
        <v>63</v>
      </c>
      <c r="H389" s="14" t="s">
        <v>1084</v>
      </c>
      <c r="I389" s="14" t="s">
        <v>1256</v>
      </c>
      <c r="J389" s="15" t="n">
        <v>1</v>
      </c>
      <c r="K389" s="14"/>
      <c r="L389" s="14"/>
      <c r="M389" s="14"/>
      <c r="N389" s="14"/>
      <c r="O389" s="14" t="s">
        <v>1259</v>
      </c>
      <c r="P389" s="14"/>
    </row>
    <row r="390" customFormat="false" ht="22.35" hidden="false" customHeight="false" outlineLevel="0" collapsed="false">
      <c r="A390" s="14" t="s">
        <v>1924</v>
      </c>
      <c r="B390" s="14" t="s">
        <v>819</v>
      </c>
      <c r="C390" s="14" t="s">
        <v>820</v>
      </c>
      <c r="D390" s="14" t="s">
        <v>15</v>
      </c>
      <c r="E390" s="14" t="s">
        <v>808</v>
      </c>
      <c r="F390" s="14" t="s">
        <v>821</v>
      </c>
      <c r="G390" s="14" t="s">
        <v>63</v>
      </c>
      <c r="H390" s="14" t="s">
        <v>1084</v>
      </c>
      <c r="I390" s="14" t="s">
        <v>1256</v>
      </c>
      <c r="J390" s="17" t="n">
        <v>2</v>
      </c>
      <c r="K390" s="14"/>
      <c r="L390" s="14"/>
      <c r="M390" s="14"/>
      <c r="N390" s="14"/>
      <c r="O390" s="14" t="s">
        <v>1259</v>
      </c>
      <c r="P390" s="14" t="s">
        <v>822</v>
      </c>
    </row>
    <row r="391" customFormat="false" ht="22.35" hidden="false" customHeight="false" outlineLevel="0" collapsed="false">
      <c r="A391" s="14" t="s">
        <v>1925</v>
      </c>
      <c r="B391" s="14" t="s">
        <v>823</v>
      </c>
      <c r="C391" s="14"/>
      <c r="D391" s="14" t="s">
        <v>15</v>
      </c>
      <c r="E391" s="14" t="s">
        <v>815</v>
      </c>
      <c r="F391" s="14" t="s">
        <v>824</v>
      </c>
      <c r="G391" s="14" t="s">
        <v>63</v>
      </c>
      <c r="H391" s="14" t="s">
        <v>1084</v>
      </c>
      <c r="I391" s="14" t="s">
        <v>1256</v>
      </c>
      <c r="J391" s="17" t="n">
        <v>2</v>
      </c>
      <c r="K391" s="14"/>
      <c r="L391" s="14"/>
      <c r="M391" s="14"/>
      <c r="N391" s="14"/>
      <c r="O391" s="14" t="s">
        <v>1259</v>
      </c>
      <c r="P391" s="14"/>
    </row>
    <row r="392" customFormat="false" ht="22.35" hidden="false" customHeight="false" outlineLevel="0" collapsed="false">
      <c r="A392" s="14" t="s">
        <v>1926</v>
      </c>
      <c r="B392" s="14" t="s">
        <v>825</v>
      </c>
      <c r="C392" s="14" t="s">
        <v>465</v>
      </c>
      <c r="D392" s="14" t="s">
        <v>15</v>
      </c>
      <c r="E392" s="14" t="s">
        <v>808</v>
      </c>
      <c r="F392" s="14" t="s">
        <v>826</v>
      </c>
      <c r="G392" s="14" t="s">
        <v>63</v>
      </c>
      <c r="H392" s="14" t="s">
        <v>1084</v>
      </c>
      <c r="I392" s="14" t="s">
        <v>1256</v>
      </c>
      <c r="J392" s="17" t="n">
        <v>2</v>
      </c>
      <c r="K392" s="14"/>
      <c r="L392" s="14"/>
      <c r="M392" s="14"/>
      <c r="N392" s="14"/>
      <c r="O392" s="14" t="s">
        <v>1259</v>
      </c>
      <c r="P392" s="14" t="s">
        <v>466</v>
      </c>
    </row>
    <row r="393" customFormat="false" ht="22.35" hidden="false" customHeight="false" outlineLevel="0" collapsed="false">
      <c r="A393" s="14" t="s">
        <v>1927</v>
      </c>
      <c r="B393" s="14" t="s">
        <v>827</v>
      </c>
      <c r="C393" s="14" t="s">
        <v>145</v>
      </c>
      <c r="D393" s="14" t="s">
        <v>15</v>
      </c>
      <c r="E393" s="14" t="s">
        <v>828</v>
      </c>
      <c r="F393" s="14" t="s">
        <v>829</v>
      </c>
      <c r="G393" s="14" t="s">
        <v>63</v>
      </c>
      <c r="H393" s="14" t="s">
        <v>1084</v>
      </c>
      <c r="I393" s="14" t="s">
        <v>1256</v>
      </c>
      <c r="J393" s="17" t="n">
        <v>2</v>
      </c>
      <c r="K393" s="14"/>
      <c r="L393" s="14"/>
      <c r="M393" s="14"/>
      <c r="N393" s="14"/>
      <c r="O393" s="14" t="s">
        <v>1259</v>
      </c>
      <c r="P393" s="14"/>
    </row>
    <row r="394" customFormat="false" ht="22.35" hidden="false" customHeight="false" outlineLevel="0" collapsed="false">
      <c r="A394" s="14" t="s">
        <v>1928</v>
      </c>
      <c r="B394" s="14" t="s">
        <v>830</v>
      </c>
      <c r="C394" s="14" t="s">
        <v>831</v>
      </c>
      <c r="D394" s="14" t="s">
        <v>15</v>
      </c>
      <c r="E394" s="14" t="s">
        <v>808</v>
      </c>
      <c r="F394" s="14" t="s">
        <v>832</v>
      </c>
      <c r="G394" s="14" t="s">
        <v>63</v>
      </c>
      <c r="H394" s="14" t="s">
        <v>1084</v>
      </c>
      <c r="I394" s="14" t="s">
        <v>1256</v>
      </c>
      <c r="J394" s="17" t="n">
        <v>2</v>
      </c>
      <c r="K394" s="14"/>
      <c r="L394" s="14"/>
      <c r="M394" s="14"/>
      <c r="N394" s="14"/>
      <c r="O394" s="14" t="s">
        <v>1259</v>
      </c>
      <c r="P394" s="14" t="s">
        <v>833</v>
      </c>
    </row>
    <row r="395" customFormat="false" ht="22.35" hidden="false" customHeight="false" outlineLevel="0" collapsed="false">
      <c r="A395" s="14" t="s">
        <v>1929</v>
      </c>
      <c r="B395" s="14" t="s">
        <v>834</v>
      </c>
      <c r="C395" s="14" t="s">
        <v>465</v>
      </c>
      <c r="D395" s="14" t="s">
        <v>15</v>
      </c>
      <c r="E395" s="14" t="s">
        <v>808</v>
      </c>
      <c r="F395" s="14" t="s">
        <v>832</v>
      </c>
      <c r="G395" s="14" t="s">
        <v>63</v>
      </c>
      <c r="H395" s="14" t="s">
        <v>1084</v>
      </c>
      <c r="I395" s="14" t="s">
        <v>1256</v>
      </c>
      <c r="J395" s="17" t="n">
        <v>2</v>
      </c>
      <c r="K395" s="14"/>
      <c r="L395" s="14"/>
      <c r="M395" s="14"/>
      <c r="N395" s="14"/>
      <c r="O395" s="14" t="s">
        <v>1259</v>
      </c>
      <c r="P395" s="14" t="s">
        <v>466</v>
      </c>
    </row>
    <row r="396" customFormat="false" ht="22.35" hidden="false" customHeight="false" outlineLevel="0" collapsed="false">
      <c r="A396" s="14" t="s">
        <v>1930</v>
      </c>
      <c r="B396" s="14" t="s">
        <v>835</v>
      </c>
      <c r="C396" s="14" t="s">
        <v>836</v>
      </c>
      <c r="D396" s="14" t="s">
        <v>15</v>
      </c>
      <c r="E396" s="14" t="s">
        <v>815</v>
      </c>
      <c r="F396" s="14" t="s">
        <v>837</v>
      </c>
      <c r="G396" s="14" t="s">
        <v>63</v>
      </c>
      <c r="H396" s="14" t="s">
        <v>1084</v>
      </c>
      <c r="I396" s="14" t="s">
        <v>1256</v>
      </c>
      <c r="J396" s="17" t="n">
        <v>2</v>
      </c>
      <c r="K396" s="14"/>
      <c r="L396" s="14"/>
      <c r="M396" s="14"/>
      <c r="N396" s="14"/>
      <c r="O396" s="14" t="s">
        <v>1259</v>
      </c>
      <c r="P396" s="14"/>
    </row>
    <row r="397" customFormat="false" ht="22.35" hidden="false" customHeight="false" outlineLevel="0" collapsed="false">
      <c r="A397" s="14" t="s">
        <v>1931</v>
      </c>
      <c r="B397" s="14" t="s">
        <v>838</v>
      </c>
      <c r="C397" s="14" t="s">
        <v>465</v>
      </c>
      <c r="D397" s="14" t="s">
        <v>15</v>
      </c>
      <c r="E397" s="14" t="s">
        <v>808</v>
      </c>
      <c r="F397" s="14" t="s">
        <v>826</v>
      </c>
      <c r="G397" s="14" t="s">
        <v>63</v>
      </c>
      <c r="H397" s="14" t="s">
        <v>1084</v>
      </c>
      <c r="I397" s="14" t="s">
        <v>1256</v>
      </c>
      <c r="J397" s="17" t="n">
        <v>2</v>
      </c>
      <c r="K397" s="14"/>
      <c r="L397" s="14"/>
      <c r="M397" s="14"/>
      <c r="N397" s="14"/>
      <c r="O397" s="14" t="s">
        <v>1259</v>
      </c>
      <c r="P397" s="14" t="s">
        <v>466</v>
      </c>
    </row>
    <row r="398" customFormat="false" ht="22.35" hidden="false" customHeight="false" outlineLevel="0" collapsed="false">
      <c r="A398" s="14" t="s">
        <v>1932</v>
      </c>
      <c r="B398" s="14" t="s">
        <v>839</v>
      </c>
      <c r="C398" s="14" t="s">
        <v>840</v>
      </c>
      <c r="D398" s="14" t="s">
        <v>15</v>
      </c>
      <c r="E398" s="14" t="s">
        <v>841</v>
      </c>
      <c r="F398" s="14" t="s">
        <v>842</v>
      </c>
      <c r="G398" s="14" t="s">
        <v>63</v>
      </c>
      <c r="H398" s="14" t="s">
        <v>1084</v>
      </c>
      <c r="I398" s="14" t="s">
        <v>1256</v>
      </c>
      <c r="J398" s="17" t="n">
        <v>2</v>
      </c>
      <c r="K398" s="14"/>
      <c r="L398" s="14"/>
      <c r="M398" s="14"/>
      <c r="N398" s="14"/>
      <c r="O398" s="14" t="s">
        <v>1259</v>
      </c>
      <c r="P398" s="14" t="s">
        <v>843</v>
      </c>
    </row>
    <row r="399" customFormat="false" ht="22.35" hidden="false" customHeight="false" outlineLevel="0" collapsed="false">
      <c r="A399" s="14" t="s">
        <v>1933</v>
      </c>
      <c r="B399" s="14" t="s">
        <v>844</v>
      </c>
      <c r="C399" s="14" t="s">
        <v>565</v>
      </c>
      <c r="D399" s="14" t="s">
        <v>15</v>
      </c>
      <c r="E399" s="14" t="s">
        <v>828</v>
      </c>
      <c r="F399" s="14" t="s">
        <v>845</v>
      </c>
      <c r="G399" s="14" t="s">
        <v>63</v>
      </c>
      <c r="H399" s="14" t="s">
        <v>1084</v>
      </c>
      <c r="I399" s="14" t="s">
        <v>1256</v>
      </c>
      <c r="J399" s="17" t="n">
        <v>2</v>
      </c>
      <c r="K399" s="14"/>
      <c r="L399" s="14"/>
      <c r="M399" s="14"/>
      <c r="N399" s="14"/>
      <c r="O399" s="14" t="s">
        <v>1259</v>
      </c>
      <c r="P399" s="14"/>
    </row>
    <row r="400" customFormat="false" ht="22.35" hidden="false" customHeight="false" outlineLevel="0" collapsed="false">
      <c r="A400" s="14" t="s">
        <v>1934</v>
      </c>
      <c r="B400" s="14" t="s">
        <v>846</v>
      </c>
      <c r="C400" s="14"/>
      <c r="D400" s="14" t="s">
        <v>15</v>
      </c>
      <c r="E400" s="14" t="s">
        <v>815</v>
      </c>
      <c r="F400" s="14" t="s">
        <v>847</v>
      </c>
      <c r="G400" s="14" t="s">
        <v>63</v>
      </c>
      <c r="H400" s="14" t="s">
        <v>1084</v>
      </c>
      <c r="I400" s="14" t="s">
        <v>1256</v>
      </c>
      <c r="J400" s="17" t="n">
        <v>2</v>
      </c>
      <c r="K400" s="14"/>
      <c r="L400" s="14"/>
      <c r="M400" s="14"/>
      <c r="N400" s="14"/>
      <c r="O400" s="14" t="s">
        <v>1259</v>
      </c>
      <c r="P400" s="14"/>
    </row>
    <row r="401" customFormat="false" ht="22.35" hidden="false" customHeight="false" outlineLevel="0" collapsed="false">
      <c r="A401" s="14" t="s">
        <v>1935</v>
      </c>
      <c r="B401" s="14" t="s">
        <v>848</v>
      </c>
      <c r="C401" s="14" t="s">
        <v>849</v>
      </c>
      <c r="D401" s="14" t="s">
        <v>15</v>
      </c>
      <c r="E401" s="14" t="s">
        <v>815</v>
      </c>
      <c r="F401" s="14" t="s">
        <v>300</v>
      </c>
      <c r="G401" s="14" t="s">
        <v>63</v>
      </c>
      <c r="H401" s="14" t="s">
        <v>1084</v>
      </c>
      <c r="I401" s="14" t="s">
        <v>1256</v>
      </c>
      <c r="J401" s="17" t="n">
        <v>2</v>
      </c>
      <c r="K401" s="14"/>
      <c r="L401" s="14"/>
      <c r="M401" s="14"/>
      <c r="N401" s="14"/>
      <c r="O401" s="14" t="s">
        <v>1259</v>
      </c>
      <c r="P401" s="14"/>
    </row>
    <row r="402" customFormat="false" ht="22.35" hidden="false" customHeight="false" outlineLevel="0" collapsed="false">
      <c r="A402" s="14" t="s">
        <v>1936</v>
      </c>
      <c r="B402" s="14" t="s">
        <v>850</v>
      </c>
      <c r="C402" s="14" t="s">
        <v>851</v>
      </c>
      <c r="D402" s="14" t="s">
        <v>15</v>
      </c>
      <c r="E402" s="14" t="s">
        <v>815</v>
      </c>
      <c r="F402" s="14" t="s">
        <v>852</v>
      </c>
      <c r="G402" s="14" t="s">
        <v>63</v>
      </c>
      <c r="H402" s="14" t="s">
        <v>1084</v>
      </c>
      <c r="I402" s="14" t="s">
        <v>1256</v>
      </c>
      <c r="J402" s="17" t="n">
        <v>2</v>
      </c>
      <c r="K402" s="14"/>
      <c r="L402" s="14"/>
      <c r="M402" s="14"/>
      <c r="N402" s="14"/>
      <c r="O402" s="14" t="s">
        <v>1259</v>
      </c>
      <c r="P402" s="14" t="s">
        <v>853</v>
      </c>
    </row>
    <row r="403" customFormat="false" ht="22.35" hidden="false" customHeight="false" outlineLevel="0" collapsed="false">
      <c r="A403" s="14" t="s">
        <v>1937</v>
      </c>
      <c r="B403" s="14" t="s">
        <v>854</v>
      </c>
      <c r="C403" s="14" t="s">
        <v>304</v>
      </c>
      <c r="D403" s="14" t="s">
        <v>15</v>
      </c>
      <c r="E403" s="14" t="s">
        <v>855</v>
      </c>
      <c r="F403" s="14" t="s">
        <v>856</v>
      </c>
      <c r="G403" s="14" t="s">
        <v>77</v>
      </c>
      <c r="H403" s="14" t="s">
        <v>1084</v>
      </c>
      <c r="I403" s="14" t="s">
        <v>1256</v>
      </c>
      <c r="J403" s="17" t="n">
        <v>2</v>
      </c>
      <c r="K403" s="14"/>
      <c r="L403" s="14"/>
      <c r="M403" s="14"/>
      <c r="N403" s="14"/>
      <c r="O403" s="14" t="s">
        <v>1259</v>
      </c>
      <c r="P403" s="14" t="s">
        <v>857</v>
      </c>
    </row>
    <row r="404" customFormat="false" ht="22.35" hidden="false" customHeight="false" outlineLevel="0" collapsed="false">
      <c r="A404" s="14" t="s">
        <v>1938</v>
      </c>
      <c r="B404" s="14" t="s">
        <v>303</v>
      </c>
      <c r="C404" s="14" t="s">
        <v>304</v>
      </c>
      <c r="D404" s="14" t="s">
        <v>15</v>
      </c>
      <c r="E404" s="14" t="s">
        <v>305</v>
      </c>
      <c r="F404" s="14" t="s">
        <v>306</v>
      </c>
      <c r="G404" s="14" t="s">
        <v>307</v>
      </c>
      <c r="H404" s="14" t="s">
        <v>1084</v>
      </c>
      <c r="I404" s="14" t="s">
        <v>1256</v>
      </c>
      <c r="J404" s="15" t="n">
        <v>1</v>
      </c>
      <c r="K404" s="14"/>
      <c r="L404" s="14"/>
      <c r="M404" s="14"/>
      <c r="N404" s="14"/>
      <c r="O404" s="14" t="s">
        <v>1259</v>
      </c>
      <c r="P404" s="14"/>
    </row>
    <row r="405" customFormat="false" ht="22.35" hidden="false" customHeight="false" outlineLevel="0" collapsed="false">
      <c r="A405" s="14" t="s">
        <v>1939</v>
      </c>
      <c r="B405" s="14" t="s">
        <v>858</v>
      </c>
      <c r="C405" s="14" t="s">
        <v>859</v>
      </c>
      <c r="D405" s="14" t="s">
        <v>15</v>
      </c>
      <c r="E405" s="14" t="s">
        <v>815</v>
      </c>
      <c r="F405" s="14" t="s">
        <v>860</v>
      </c>
      <c r="G405" s="14" t="s">
        <v>307</v>
      </c>
      <c r="H405" s="14" t="s">
        <v>1084</v>
      </c>
      <c r="I405" s="14" t="s">
        <v>1256</v>
      </c>
      <c r="J405" s="17" t="n">
        <v>2</v>
      </c>
      <c r="K405" s="14"/>
      <c r="L405" s="14"/>
      <c r="M405" s="14"/>
      <c r="N405" s="14"/>
      <c r="O405" s="14" t="s">
        <v>1259</v>
      </c>
      <c r="P405" s="14"/>
    </row>
    <row r="406" customFormat="false" ht="15" hidden="false" customHeight="false" outlineLevel="0" collapsed="false">
      <c r="A406" s="14" t="s">
        <v>1940</v>
      </c>
      <c r="B406" s="14" t="s">
        <v>1941</v>
      </c>
      <c r="C406" s="14"/>
      <c r="D406" s="14" t="s">
        <v>25</v>
      </c>
      <c r="E406" s="14" t="s">
        <v>1396</v>
      </c>
      <c r="F406" s="14"/>
      <c r="G406" s="14"/>
      <c r="H406" s="14" t="s">
        <v>1278</v>
      </c>
      <c r="I406" s="14" t="s">
        <v>1256</v>
      </c>
      <c r="J406" s="14"/>
      <c r="K406" s="14"/>
      <c r="L406" s="14"/>
      <c r="M406" s="14"/>
      <c r="N406" s="14"/>
      <c r="O406" s="14" t="s">
        <v>1279</v>
      </c>
      <c r="P406" s="14"/>
    </row>
    <row r="407" customFormat="false" ht="15" hidden="false" customHeight="false" outlineLevel="0" collapsed="false">
      <c r="A407" s="14" t="s">
        <v>1942</v>
      </c>
      <c r="B407" s="14" t="s">
        <v>1943</v>
      </c>
      <c r="C407" s="14"/>
      <c r="D407" s="14" t="s">
        <v>25</v>
      </c>
      <c r="E407" s="14" t="s">
        <v>1396</v>
      </c>
      <c r="F407" s="14"/>
      <c r="G407" s="14"/>
      <c r="H407" s="14" t="s">
        <v>1278</v>
      </c>
      <c r="I407" s="14" t="s">
        <v>1256</v>
      </c>
      <c r="J407" s="14"/>
      <c r="K407" s="14"/>
      <c r="L407" s="14"/>
      <c r="M407" s="14"/>
      <c r="N407" s="14"/>
      <c r="O407" s="14" t="s">
        <v>1279</v>
      </c>
      <c r="P407" s="14"/>
    </row>
    <row r="408" customFormat="false" ht="15" hidden="false" customHeight="false" outlineLevel="0" collapsed="false">
      <c r="A408" s="14" t="s">
        <v>1944</v>
      </c>
      <c r="B408" s="14" t="s">
        <v>1945</v>
      </c>
      <c r="C408" s="14"/>
      <c r="D408" s="14" t="s">
        <v>25</v>
      </c>
      <c r="E408" s="14" t="s">
        <v>1396</v>
      </c>
      <c r="F408" s="14"/>
      <c r="G408" s="14"/>
      <c r="H408" s="14" t="s">
        <v>1278</v>
      </c>
      <c r="I408" s="14" t="s">
        <v>1291</v>
      </c>
      <c r="J408" s="14"/>
      <c r="K408" s="14"/>
      <c r="L408" s="14"/>
      <c r="M408" s="14"/>
      <c r="N408" s="14"/>
      <c r="O408" s="14" t="s">
        <v>1279</v>
      </c>
      <c r="P408" s="14"/>
    </row>
    <row r="409" customFormat="false" ht="22.35" hidden="false" customHeight="false" outlineLevel="0" collapsed="false">
      <c r="A409" s="14" t="s">
        <v>1946</v>
      </c>
      <c r="B409" s="14" t="s">
        <v>311</v>
      </c>
      <c r="C409" s="14"/>
      <c r="D409" s="14" t="s">
        <v>25</v>
      </c>
      <c r="E409" s="14" t="s">
        <v>312</v>
      </c>
      <c r="F409" s="14" t="s">
        <v>188</v>
      </c>
      <c r="G409" s="14" t="s">
        <v>63</v>
      </c>
      <c r="H409" s="14" t="s">
        <v>1084</v>
      </c>
      <c r="I409" s="14" t="s">
        <v>1256</v>
      </c>
      <c r="J409" s="15" t="n">
        <v>1</v>
      </c>
      <c r="K409" s="14"/>
      <c r="L409" s="14"/>
      <c r="M409" s="14"/>
      <c r="N409" s="14"/>
      <c r="O409" s="14" t="s">
        <v>1947</v>
      </c>
      <c r="P409" s="14"/>
    </row>
    <row r="410" customFormat="false" ht="22.35" hidden="false" customHeight="false" outlineLevel="0" collapsed="false">
      <c r="A410" s="14" t="s">
        <v>1948</v>
      </c>
      <c r="B410" s="14" t="s">
        <v>861</v>
      </c>
      <c r="C410" s="14" t="s">
        <v>324</v>
      </c>
      <c r="D410" s="14" t="s">
        <v>25</v>
      </c>
      <c r="E410" s="14" t="s">
        <v>320</v>
      </c>
      <c r="F410" s="14" t="s">
        <v>160</v>
      </c>
      <c r="G410" s="14" t="s">
        <v>63</v>
      </c>
      <c r="H410" s="14" t="s">
        <v>1084</v>
      </c>
      <c r="I410" s="14" t="s">
        <v>1256</v>
      </c>
      <c r="J410" s="17" t="n">
        <v>2</v>
      </c>
      <c r="K410" s="14"/>
      <c r="L410" s="14"/>
      <c r="M410" s="14"/>
      <c r="N410" s="14"/>
      <c r="O410" s="14" t="s">
        <v>1259</v>
      </c>
      <c r="P410" s="14"/>
    </row>
    <row r="411" customFormat="false" ht="22.35" hidden="false" customHeight="false" outlineLevel="0" collapsed="false">
      <c r="A411" s="14" t="s">
        <v>1949</v>
      </c>
      <c r="B411" s="14" t="s">
        <v>318</v>
      </c>
      <c r="C411" s="14" t="s">
        <v>319</v>
      </c>
      <c r="D411" s="14" t="s">
        <v>25</v>
      </c>
      <c r="E411" s="14" t="s">
        <v>320</v>
      </c>
      <c r="F411" s="14" t="s">
        <v>160</v>
      </c>
      <c r="G411" s="14" t="s">
        <v>63</v>
      </c>
      <c r="H411" s="14" t="s">
        <v>1084</v>
      </c>
      <c r="I411" s="14" t="s">
        <v>1256</v>
      </c>
      <c r="J411" s="15" t="n">
        <v>1</v>
      </c>
      <c r="K411" s="14"/>
      <c r="L411" s="14"/>
      <c r="M411" s="14"/>
      <c r="N411" s="14"/>
      <c r="O411" s="14" t="s">
        <v>1259</v>
      </c>
      <c r="P411" s="14"/>
    </row>
    <row r="412" customFormat="false" ht="22.35" hidden="false" customHeight="false" outlineLevel="0" collapsed="false">
      <c r="A412" s="14" t="s">
        <v>1950</v>
      </c>
      <c r="B412" s="14" t="s">
        <v>863</v>
      </c>
      <c r="C412" s="14" t="s">
        <v>491</v>
      </c>
      <c r="D412" s="14" t="s">
        <v>25</v>
      </c>
      <c r="E412" s="14" t="s">
        <v>864</v>
      </c>
      <c r="F412" s="14" t="s">
        <v>492</v>
      </c>
      <c r="G412" s="14" t="s">
        <v>493</v>
      </c>
      <c r="H412" s="14" t="s">
        <v>1084</v>
      </c>
      <c r="I412" s="14" t="s">
        <v>1256</v>
      </c>
      <c r="J412" s="17" t="n">
        <v>2</v>
      </c>
      <c r="K412" s="14"/>
      <c r="L412" s="14"/>
      <c r="M412" s="14"/>
      <c r="N412" s="14"/>
      <c r="O412" s="14" t="s">
        <v>1259</v>
      </c>
      <c r="P412" s="14"/>
    </row>
    <row r="413" customFormat="false" ht="22.35" hidden="false" customHeight="false" outlineLevel="0" collapsed="false">
      <c r="A413" s="14" t="s">
        <v>1951</v>
      </c>
      <c r="B413" s="14" t="s">
        <v>323</v>
      </c>
      <c r="C413" s="14" t="s">
        <v>324</v>
      </c>
      <c r="D413" s="14" t="s">
        <v>25</v>
      </c>
      <c r="E413" s="14" t="s">
        <v>325</v>
      </c>
      <c r="F413" s="14" t="s">
        <v>326</v>
      </c>
      <c r="G413" s="14" t="s">
        <v>63</v>
      </c>
      <c r="H413" s="14" t="s">
        <v>1084</v>
      </c>
      <c r="I413" s="14" t="s">
        <v>1256</v>
      </c>
      <c r="J413" s="15" t="n">
        <v>1</v>
      </c>
      <c r="K413" s="14"/>
      <c r="L413" s="14"/>
      <c r="M413" s="14"/>
      <c r="N413" s="14"/>
      <c r="O413" s="14" t="s">
        <v>1259</v>
      </c>
      <c r="P413" s="14"/>
    </row>
    <row r="414" customFormat="false" ht="22.35" hidden="false" customHeight="false" outlineLevel="0" collapsed="false">
      <c r="A414" s="14" t="s">
        <v>1952</v>
      </c>
      <c r="B414" s="14" t="s">
        <v>865</v>
      </c>
      <c r="C414" s="14"/>
      <c r="D414" s="14" t="s">
        <v>25</v>
      </c>
      <c r="E414" s="14" t="s">
        <v>866</v>
      </c>
      <c r="F414" s="14" t="s">
        <v>62</v>
      </c>
      <c r="G414" s="14" t="s">
        <v>63</v>
      </c>
      <c r="H414" s="14" t="s">
        <v>1084</v>
      </c>
      <c r="I414" s="14" t="s">
        <v>1256</v>
      </c>
      <c r="J414" s="17" t="n">
        <v>2</v>
      </c>
      <c r="K414" s="14"/>
      <c r="L414" s="14"/>
      <c r="M414" s="14"/>
      <c r="N414" s="14"/>
      <c r="O414" s="14" t="s">
        <v>1259</v>
      </c>
      <c r="P414" s="14"/>
    </row>
    <row r="415" customFormat="false" ht="22.35" hidden="false" customHeight="false" outlineLevel="0" collapsed="false">
      <c r="A415" s="14" t="s">
        <v>1953</v>
      </c>
      <c r="B415" s="14" t="s">
        <v>867</v>
      </c>
      <c r="C415" s="14"/>
      <c r="D415" s="14" t="s">
        <v>25</v>
      </c>
      <c r="E415" s="14" t="s">
        <v>868</v>
      </c>
      <c r="F415" s="14" t="s">
        <v>215</v>
      </c>
      <c r="G415" s="14" t="s">
        <v>77</v>
      </c>
      <c r="H415" s="14" t="s">
        <v>1084</v>
      </c>
      <c r="I415" s="14" t="s">
        <v>1256</v>
      </c>
      <c r="J415" s="17" t="n">
        <v>2</v>
      </c>
      <c r="K415" s="14"/>
      <c r="L415" s="14"/>
      <c r="M415" s="14"/>
      <c r="N415" s="14"/>
      <c r="O415" s="14" t="s">
        <v>1259</v>
      </c>
      <c r="P415" s="14"/>
    </row>
    <row r="416" customFormat="false" ht="22.35" hidden="false" customHeight="false" outlineLevel="0" collapsed="false">
      <c r="A416" s="14" t="s">
        <v>1954</v>
      </c>
      <c r="B416" s="14" t="s">
        <v>869</v>
      </c>
      <c r="C416" s="14" t="s">
        <v>870</v>
      </c>
      <c r="D416" s="14" t="s">
        <v>25</v>
      </c>
      <c r="E416" s="14" t="s">
        <v>871</v>
      </c>
      <c r="F416" s="14" t="s">
        <v>62</v>
      </c>
      <c r="G416" s="14" t="s">
        <v>63</v>
      </c>
      <c r="H416" s="14" t="s">
        <v>1084</v>
      </c>
      <c r="I416" s="14" t="s">
        <v>1256</v>
      </c>
      <c r="J416" s="17" t="n">
        <v>2</v>
      </c>
      <c r="K416" s="14"/>
      <c r="L416" s="14"/>
      <c r="M416" s="14"/>
      <c r="N416" s="14"/>
      <c r="O416" s="14" t="s">
        <v>1259</v>
      </c>
      <c r="P416" s="14"/>
    </row>
    <row r="417" customFormat="false" ht="22.35" hidden="false" customHeight="false" outlineLevel="0" collapsed="false">
      <c r="A417" s="14" t="s">
        <v>1955</v>
      </c>
      <c r="B417" s="14" t="s">
        <v>328</v>
      </c>
      <c r="C417" s="14"/>
      <c r="D417" s="14" t="s">
        <v>25</v>
      </c>
      <c r="E417" s="14" t="s">
        <v>329</v>
      </c>
      <c r="F417" s="14" t="s">
        <v>330</v>
      </c>
      <c r="G417" s="14" t="s">
        <v>63</v>
      </c>
      <c r="H417" s="14" t="s">
        <v>1084</v>
      </c>
      <c r="I417" s="14" t="s">
        <v>1256</v>
      </c>
      <c r="J417" s="15" t="n">
        <v>1</v>
      </c>
      <c r="K417" s="14"/>
      <c r="L417" s="14"/>
      <c r="M417" s="14"/>
      <c r="N417" s="14"/>
      <c r="O417" s="14" t="s">
        <v>1956</v>
      </c>
      <c r="P417" s="14"/>
    </row>
    <row r="418" customFormat="false" ht="15" hidden="false" customHeight="false" outlineLevel="0" collapsed="false">
      <c r="A418" s="14" t="s">
        <v>1957</v>
      </c>
      <c r="B418" s="14" t="s">
        <v>1958</v>
      </c>
      <c r="C418" s="14"/>
      <c r="D418" s="14" t="s">
        <v>22</v>
      </c>
      <c r="E418" s="14" t="s">
        <v>1959</v>
      </c>
      <c r="F418" s="14"/>
      <c r="G418" s="14"/>
      <c r="H418" s="14" t="s">
        <v>1278</v>
      </c>
      <c r="I418" s="14" t="s">
        <v>1256</v>
      </c>
      <c r="J418" s="14"/>
      <c r="K418" s="14"/>
      <c r="L418" s="14"/>
      <c r="M418" s="14"/>
      <c r="N418" s="14"/>
      <c r="O418" s="14" t="s">
        <v>1279</v>
      </c>
      <c r="P418" s="14"/>
    </row>
    <row r="419" customFormat="false" ht="15" hidden="false" customHeight="false" outlineLevel="0" collapsed="false">
      <c r="A419" s="14" t="s">
        <v>1960</v>
      </c>
      <c r="B419" s="14" t="s">
        <v>1961</v>
      </c>
      <c r="C419" s="14"/>
      <c r="D419" s="14" t="s">
        <v>22</v>
      </c>
      <c r="E419" s="14" t="s">
        <v>1962</v>
      </c>
      <c r="F419" s="14"/>
      <c r="G419" s="14" t="s">
        <v>77</v>
      </c>
      <c r="H419" s="14" t="s">
        <v>1278</v>
      </c>
      <c r="I419" s="14" t="s">
        <v>1256</v>
      </c>
      <c r="J419" s="14"/>
      <c r="K419" s="14"/>
      <c r="L419" s="14"/>
      <c r="M419" s="14"/>
      <c r="N419" s="14"/>
      <c r="O419" s="14" t="s">
        <v>1279</v>
      </c>
      <c r="P419" s="14"/>
    </row>
    <row r="420" customFormat="false" ht="22.35" hidden="false" customHeight="false" outlineLevel="0" collapsed="false">
      <c r="A420" s="14" t="s">
        <v>1963</v>
      </c>
      <c r="B420" s="14" t="s">
        <v>333</v>
      </c>
      <c r="C420" s="14" t="s">
        <v>334</v>
      </c>
      <c r="D420" s="14" t="s">
        <v>22</v>
      </c>
      <c r="E420" s="14" t="s">
        <v>335</v>
      </c>
      <c r="F420" s="14" t="s">
        <v>76</v>
      </c>
      <c r="G420" s="14" t="s">
        <v>77</v>
      </c>
      <c r="H420" s="14" t="s">
        <v>1084</v>
      </c>
      <c r="I420" s="14" t="s">
        <v>1256</v>
      </c>
      <c r="J420" s="15" t="n">
        <v>1</v>
      </c>
      <c r="K420" s="14"/>
      <c r="L420" s="14"/>
      <c r="M420" s="14"/>
      <c r="N420" s="14"/>
      <c r="O420" s="14" t="s">
        <v>1259</v>
      </c>
      <c r="P420" s="14"/>
    </row>
    <row r="421" customFormat="false" ht="22.35" hidden="false" customHeight="false" outlineLevel="0" collapsed="false">
      <c r="A421" s="14" t="s">
        <v>1964</v>
      </c>
      <c r="B421" s="14" t="s">
        <v>339</v>
      </c>
      <c r="C421" s="14" t="s">
        <v>340</v>
      </c>
      <c r="D421" s="14" t="s">
        <v>22</v>
      </c>
      <c r="E421" s="14" t="s">
        <v>341</v>
      </c>
      <c r="F421" s="14" t="s">
        <v>76</v>
      </c>
      <c r="G421" s="14" t="s">
        <v>77</v>
      </c>
      <c r="H421" s="14" t="s">
        <v>1084</v>
      </c>
      <c r="I421" s="14" t="s">
        <v>1256</v>
      </c>
      <c r="J421" s="15" t="n">
        <v>1</v>
      </c>
      <c r="K421" s="14"/>
      <c r="L421" s="14"/>
      <c r="M421" s="14"/>
      <c r="N421" s="14"/>
      <c r="O421" s="14" t="s">
        <v>1259</v>
      </c>
      <c r="P421" s="14"/>
    </row>
    <row r="422" customFormat="false" ht="22.35" hidden="false" customHeight="false" outlineLevel="0" collapsed="false">
      <c r="A422" s="14" t="s">
        <v>1965</v>
      </c>
      <c r="B422" s="14" t="s">
        <v>345</v>
      </c>
      <c r="C422" s="14" t="s">
        <v>346</v>
      </c>
      <c r="D422" s="14" t="s">
        <v>22</v>
      </c>
      <c r="E422" s="14" t="s">
        <v>347</v>
      </c>
      <c r="F422" s="14" t="s">
        <v>348</v>
      </c>
      <c r="G422" s="14" t="s">
        <v>77</v>
      </c>
      <c r="H422" s="14" t="s">
        <v>1084</v>
      </c>
      <c r="I422" s="14" t="s">
        <v>1256</v>
      </c>
      <c r="J422" s="15" t="n">
        <v>1</v>
      </c>
      <c r="K422" s="14"/>
      <c r="L422" s="14"/>
      <c r="M422" s="14"/>
      <c r="N422" s="14"/>
      <c r="O422" s="14" t="s">
        <v>1259</v>
      </c>
      <c r="P422" s="14"/>
    </row>
    <row r="423" customFormat="false" ht="15" hidden="false" customHeight="false" outlineLevel="0" collapsed="false">
      <c r="A423" s="14" t="s">
        <v>1966</v>
      </c>
      <c r="B423" s="14" t="s">
        <v>872</v>
      </c>
      <c r="C423" s="14"/>
      <c r="D423" s="14" t="s">
        <v>22</v>
      </c>
      <c r="E423" s="14" t="s">
        <v>873</v>
      </c>
      <c r="F423" s="14" t="s">
        <v>62</v>
      </c>
      <c r="G423" s="14" t="s">
        <v>63</v>
      </c>
      <c r="H423" s="14" t="s">
        <v>1084</v>
      </c>
      <c r="I423" s="14" t="s">
        <v>1256</v>
      </c>
      <c r="J423" s="17" t="n">
        <v>2</v>
      </c>
      <c r="K423" s="14"/>
      <c r="L423" s="14"/>
      <c r="M423" s="14"/>
      <c r="N423" s="14"/>
      <c r="O423" s="14" t="s">
        <v>1967</v>
      </c>
      <c r="P423" s="14"/>
    </row>
    <row r="424" customFormat="false" ht="15" hidden="false" customHeight="false" outlineLevel="0" collapsed="false">
      <c r="A424" s="14" t="s">
        <v>1968</v>
      </c>
      <c r="B424" s="14" t="s">
        <v>877</v>
      </c>
      <c r="C424" s="14"/>
      <c r="D424" s="14" t="s">
        <v>22</v>
      </c>
      <c r="E424" s="14" t="s">
        <v>878</v>
      </c>
      <c r="F424" s="14" t="s">
        <v>306</v>
      </c>
      <c r="G424" s="14" t="s">
        <v>307</v>
      </c>
      <c r="H424" s="14" t="s">
        <v>1084</v>
      </c>
      <c r="I424" s="14" t="s">
        <v>1256</v>
      </c>
      <c r="J424" s="17" t="n">
        <v>2</v>
      </c>
      <c r="K424" s="14"/>
      <c r="L424" s="14"/>
      <c r="M424" s="14"/>
      <c r="N424" s="14"/>
      <c r="O424" s="14" t="s">
        <v>1967</v>
      </c>
      <c r="P424" s="14"/>
    </row>
    <row r="425" customFormat="false" ht="22.35" hidden="false" customHeight="false" outlineLevel="0" collapsed="false">
      <c r="A425" s="14" t="s">
        <v>1969</v>
      </c>
      <c r="B425" s="14" t="s">
        <v>879</v>
      </c>
      <c r="C425" s="14" t="s">
        <v>407</v>
      </c>
      <c r="D425" s="14" t="s">
        <v>22</v>
      </c>
      <c r="E425" s="14" t="s">
        <v>880</v>
      </c>
      <c r="F425" s="14" t="s">
        <v>881</v>
      </c>
      <c r="G425" s="14" t="s">
        <v>77</v>
      </c>
      <c r="H425" s="14" t="s">
        <v>1084</v>
      </c>
      <c r="I425" s="14" t="s">
        <v>1256</v>
      </c>
      <c r="J425" s="17" t="n">
        <v>2</v>
      </c>
      <c r="K425" s="14"/>
      <c r="L425" s="14"/>
      <c r="M425" s="14"/>
      <c r="N425" s="14"/>
      <c r="O425" s="14" t="s">
        <v>1259</v>
      </c>
      <c r="P425" s="14" t="s">
        <v>412</v>
      </c>
    </row>
    <row r="426" customFormat="false" ht="22.35" hidden="false" customHeight="false" outlineLevel="0" collapsed="false">
      <c r="A426" s="14" t="s">
        <v>1970</v>
      </c>
      <c r="B426" s="14" t="s">
        <v>882</v>
      </c>
      <c r="C426" s="14"/>
      <c r="D426" s="14" t="s">
        <v>22</v>
      </c>
      <c r="E426" s="14" t="s">
        <v>883</v>
      </c>
      <c r="F426" s="14" t="s">
        <v>62</v>
      </c>
      <c r="G426" s="14" t="s">
        <v>63</v>
      </c>
      <c r="H426" s="14" t="s">
        <v>1084</v>
      </c>
      <c r="I426" s="14" t="s">
        <v>1256</v>
      </c>
      <c r="J426" s="17" t="n">
        <v>2</v>
      </c>
      <c r="K426" s="14"/>
      <c r="L426" s="14"/>
      <c r="M426" s="14"/>
      <c r="N426" s="14"/>
      <c r="O426" s="14" t="s">
        <v>1259</v>
      </c>
      <c r="P426" s="14"/>
    </row>
    <row r="427" customFormat="false" ht="22.35" hidden="false" customHeight="false" outlineLevel="0" collapsed="false">
      <c r="A427" s="14" t="s">
        <v>1971</v>
      </c>
      <c r="B427" s="14" t="s">
        <v>884</v>
      </c>
      <c r="C427" s="14"/>
      <c r="D427" s="14" t="s">
        <v>22</v>
      </c>
      <c r="E427" s="14" t="s">
        <v>883</v>
      </c>
      <c r="F427" s="14" t="s">
        <v>62</v>
      </c>
      <c r="G427" s="14" t="s">
        <v>63</v>
      </c>
      <c r="H427" s="14" t="s">
        <v>1084</v>
      </c>
      <c r="I427" s="14" t="s">
        <v>1256</v>
      </c>
      <c r="J427" s="17" t="n">
        <v>2</v>
      </c>
      <c r="K427" s="14"/>
      <c r="L427" s="14"/>
      <c r="M427" s="14"/>
      <c r="N427" s="14"/>
      <c r="O427" s="14" t="s">
        <v>1259</v>
      </c>
      <c r="P427" s="14"/>
    </row>
    <row r="428" customFormat="false" ht="15" hidden="false" customHeight="false" outlineLevel="0" collapsed="false">
      <c r="A428" s="14" t="s">
        <v>1972</v>
      </c>
      <c r="B428" s="14" t="s">
        <v>885</v>
      </c>
      <c r="C428" s="14" t="s">
        <v>886</v>
      </c>
      <c r="D428" s="14" t="s">
        <v>22</v>
      </c>
      <c r="E428" s="14" t="s">
        <v>887</v>
      </c>
      <c r="F428" s="14" t="s">
        <v>888</v>
      </c>
      <c r="G428" s="14" t="s">
        <v>63</v>
      </c>
      <c r="H428" s="14" t="s">
        <v>1084</v>
      </c>
      <c r="I428" s="14" t="s">
        <v>1256</v>
      </c>
      <c r="J428" s="17" t="n">
        <v>2</v>
      </c>
      <c r="K428" s="14"/>
      <c r="L428" s="14"/>
      <c r="M428" s="14"/>
      <c r="N428" s="14"/>
      <c r="O428" s="14" t="s">
        <v>1967</v>
      </c>
      <c r="P428" s="14" t="s">
        <v>889</v>
      </c>
    </row>
    <row r="429" customFormat="false" ht="15" hidden="false" customHeight="false" outlineLevel="0" collapsed="false">
      <c r="A429" s="14" t="s">
        <v>1973</v>
      </c>
      <c r="B429" s="14" t="s">
        <v>890</v>
      </c>
      <c r="C429" s="14"/>
      <c r="D429" s="14" t="s">
        <v>22</v>
      </c>
      <c r="E429" s="14" t="s">
        <v>873</v>
      </c>
      <c r="F429" s="14" t="s">
        <v>215</v>
      </c>
      <c r="G429" s="14" t="s">
        <v>77</v>
      </c>
      <c r="H429" s="14" t="s">
        <v>1084</v>
      </c>
      <c r="I429" s="14" t="s">
        <v>1256</v>
      </c>
      <c r="J429" s="17" t="n">
        <v>2</v>
      </c>
      <c r="K429" s="14"/>
      <c r="L429" s="14"/>
      <c r="M429" s="14"/>
      <c r="N429" s="14"/>
      <c r="O429" s="14" t="s">
        <v>1967</v>
      </c>
      <c r="P429" s="14"/>
    </row>
    <row r="430" customFormat="false" ht="22.35" hidden="false" customHeight="false" outlineLevel="0" collapsed="false">
      <c r="A430" s="14" t="s">
        <v>1974</v>
      </c>
      <c r="B430" s="14" t="s">
        <v>351</v>
      </c>
      <c r="C430" s="14" t="s">
        <v>352</v>
      </c>
      <c r="D430" s="14" t="s">
        <v>22</v>
      </c>
      <c r="E430" s="14" t="s">
        <v>353</v>
      </c>
      <c r="F430" s="14" t="s">
        <v>62</v>
      </c>
      <c r="G430" s="14" t="s">
        <v>63</v>
      </c>
      <c r="H430" s="14" t="s">
        <v>1084</v>
      </c>
      <c r="I430" s="14" t="s">
        <v>1256</v>
      </c>
      <c r="J430" s="15" t="n">
        <v>1</v>
      </c>
      <c r="K430" s="14"/>
      <c r="L430" s="14"/>
      <c r="M430" s="14"/>
      <c r="N430" s="14"/>
      <c r="O430" s="14" t="s">
        <v>1259</v>
      </c>
      <c r="P430" s="14"/>
    </row>
    <row r="431" customFormat="false" ht="22.35" hidden="false" customHeight="false" outlineLevel="0" collapsed="false">
      <c r="A431" s="14" t="s">
        <v>1975</v>
      </c>
      <c r="B431" s="14" t="s">
        <v>891</v>
      </c>
      <c r="C431" s="14" t="s">
        <v>892</v>
      </c>
      <c r="D431" s="14" t="s">
        <v>22</v>
      </c>
      <c r="E431" s="14" t="s">
        <v>883</v>
      </c>
      <c r="F431" s="14" t="s">
        <v>62</v>
      </c>
      <c r="G431" s="14" t="s">
        <v>63</v>
      </c>
      <c r="H431" s="14" t="s">
        <v>1084</v>
      </c>
      <c r="I431" s="14" t="s">
        <v>1256</v>
      </c>
      <c r="J431" s="17" t="n">
        <v>2</v>
      </c>
      <c r="K431" s="14"/>
      <c r="L431" s="14"/>
      <c r="M431" s="14"/>
      <c r="N431" s="14"/>
      <c r="O431" s="14" t="s">
        <v>1259</v>
      </c>
      <c r="P431" s="14" t="s">
        <v>893</v>
      </c>
    </row>
    <row r="432" customFormat="false" ht="22.35" hidden="false" customHeight="false" outlineLevel="0" collapsed="false">
      <c r="A432" s="14" t="s">
        <v>1976</v>
      </c>
      <c r="B432" s="14" t="s">
        <v>355</v>
      </c>
      <c r="C432" s="14"/>
      <c r="D432" s="14" t="s">
        <v>22</v>
      </c>
      <c r="E432" s="14" t="s">
        <v>356</v>
      </c>
      <c r="F432" s="14" t="s">
        <v>357</v>
      </c>
      <c r="G432" s="14" t="s">
        <v>63</v>
      </c>
      <c r="H432" s="14" t="s">
        <v>1084</v>
      </c>
      <c r="I432" s="14" t="s">
        <v>1256</v>
      </c>
      <c r="J432" s="15" t="n">
        <v>1</v>
      </c>
      <c r="K432" s="14"/>
      <c r="L432" s="14"/>
      <c r="M432" s="14"/>
      <c r="N432" s="14"/>
      <c r="O432" s="14" t="s">
        <v>1977</v>
      </c>
      <c r="P432" s="14"/>
    </row>
    <row r="433" customFormat="false" ht="15" hidden="false" customHeight="false" outlineLevel="0" collapsed="false">
      <c r="A433" s="14" t="s">
        <v>1978</v>
      </c>
      <c r="B433" s="14" t="s">
        <v>894</v>
      </c>
      <c r="C433" s="14"/>
      <c r="D433" s="14" t="s">
        <v>14</v>
      </c>
      <c r="E433" s="14" t="s">
        <v>895</v>
      </c>
      <c r="F433" s="14" t="s">
        <v>553</v>
      </c>
      <c r="G433" s="14" t="s">
        <v>77</v>
      </c>
      <c r="H433" s="14" t="s">
        <v>1084</v>
      </c>
      <c r="I433" s="14" t="s">
        <v>1256</v>
      </c>
      <c r="J433" s="17" t="n">
        <v>2</v>
      </c>
      <c r="K433" s="14"/>
      <c r="L433" s="14"/>
      <c r="M433" s="14"/>
      <c r="N433" s="14"/>
      <c r="O433" s="14" t="s">
        <v>1448</v>
      </c>
      <c r="P433" s="14" t="s">
        <v>899</v>
      </c>
    </row>
    <row r="434" customFormat="false" ht="15" hidden="false" customHeight="false" outlineLevel="0" collapsed="false">
      <c r="A434" s="14" t="s">
        <v>1979</v>
      </c>
      <c r="B434" s="14" t="s">
        <v>900</v>
      </c>
      <c r="C434" s="14"/>
      <c r="D434" s="14" t="s">
        <v>14</v>
      </c>
      <c r="E434" s="14" t="s">
        <v>895</v>
      </c>
      <c r="F434" s="14" t="s">
        <v>553</v>
      </c>
      <c r="G434" s="14"/>
      <c r="H434" s="14" t="s">
        <v>1084</v>
      </c>
      <c r="I434" s="14" t="s">
        <v>1256</v>
      </c>
      <c r="J434" s="17" t="n">
        <v>2</v>
      </c>
      <c r="K434" s="14"/>
      <c r="L434" s="14"/>
      <c r="M434" s="14"/>
      <c r="N434" s="14"/>
      <c r="O434" s="14" t="s">
        <v>1448</v>
      </c>
      <c r="P434" s="14" t="s">
        <v>899</v>
      </c>
    </row>
    <row r="435" customFormat="false" ht="22.35" hidden="false" customHeight="false" outlineLevel="0" collapsed="false">
      <c r="A435" s="14" t="s">
        <v>1980</v>
      </c>
      <c r="B435" s="14" t="s">
        <v>362</v>
      </c>
      <c r="C435" s="14" t="s">
        <v>363</v>
      </c>
      <c r="D435" s="14" t="s">
        <v>14</v>
      </c>
      <c r="E435" s="14" t="s">
        <v>364</v>
      </c>
      <c r="F435" s="14" t="s">
        <v>365</v>
      </c>
      <c r="G435" s="14" t="s">
        <v>77</v>
      </c>
      <c r="H435" s="14" t="s">
        <v>1084</v>
      </c>
      <c r="I435" s="14" t="s">
        <v>1256</v>
      </c>
      <c r="J435" s="15" t="n">
        <v>1</v>
      </c>
      <c r="K435" s="14"/>
      <c r="L435" s="14"/>
      <c r="M435" s="14"/>
      <c r="N435" s="14"/>
      <c r="O435" s="14" t="s">
        <v>1259</v>
      </c>
      <c r="P435" s="14"/>
    </row>
    <row r="436" customFormat="false" ht="22.35" hidden="false" customHeight="false" outlineLevel="0" collapsed="false">
      <c r="A436" s="14" t="s">
        <v>1981</v>
      </c>
      <c r="B436" s="14" t="s">
        <v>901</v>
      </c>
      <c r="C436" s="14" t="s">
        <v>902</v>
      </c>
      <c r="D436" s="14" t="s">
        <v>14</v>
      </c>
      <c r="E436" s="14" t="s">
        <v>895</v>
      </c>
      <c r="F436" s="14" t="s">
        <v>903</v>
      </c>
      <c r="G436" s="14" t="s">
        <v>493</v>
      </c>
      <c r="H436" s="14" t="s">
        <v>1084</v>
      </c>
      <c r="I436" s="14" t="s">
        <v>1256</v>
      </c>
      <c r="J436" s="17" t="n">
        <v>2</v>
      </c>
      <c r="K436" s="14"/>
      <c r="L436" s="14"/>
      <c r="M436" s="14"/>
      <c r="N436" s="14"/>
      <c r="O436" s="14" t="s">
        <v>1259</v>
      </c>
      <c r="P436" s="14"/>
    </row>
    <row r="437" customFormat="false" ht="22.35" hidden="false" customHeight="false" outlineLevel="0" collapsed="false">
      <c r="A437" s="14" t="s">
        <v>1982</v>
      </c>
      <c r="B437" s="14" t="s">
        <v>904</v>
      </c>
      <c r="C437" s="14" t="s">
        <v>905</v>
      </c>
      <c r="D437" s="14" t="s">
        <v>14</v>
      </c>
      <c r="E437" s="14" t="s">
        <v>906</v>
      </c>
      <c r="F437" s="14" t="s">
        <v>907</v>
      </c>
      <c r="G437" s="14" t="s">
        <v>77</v>
      </c>
      <c r="H437" s="14" t="s">
        <v>1084</v>
      </c>
      <c r="I437" s="14" t="s">
        <v>1256</v>
      </c>
      <c r="J437" s="17" t="n">
        <v>2</v>
      </c>
      <c r="K437" s="14"/>
      <c r="L437" s="14"/>
      <c r="M437" s="14"/>
      <c r="N437" s="14"/>
      <c r="O437" s="14" t="s">
        <v>1259</v>
      </c>
      <c r="P437" s="14"/>
    </row>
    <row r="438" customFormat="false" ht="15" hidden="false" customHeight="false" outlineLevel="0" collapsed="false">
      <c r="A438" s="14" t="s">
        <v>1983</v>
      </c>
      <c r="B438" s="14" t="s">
        <v>908</v>
      </c>
      <c r="C438" s="14"/>
      <c r="D438" s="14" t="s">
        <v>14</v>
      </c>
      <c r="E438" s="14" t="s">
        <v>895</v>
      </c>
      <c r="F438" s="14" t="s">
        <v>553</v>
      </c>
      <c r="G438" s="14"/>
      <c r="H438" s="14" t="s">
        <v>1084</v>
      </c>
      <c r="I438" s="14" t="s">
        <v>1256</v>
      </c>
      <c r="J438" s="17" t="n">
        <v>2</v>
      </c>
      <c r="K438" s="14"/>
      <c r="L438" s="14"/>
      <c r="M438" s="14"/>
      <c r="N438" s="14"/>
      <c r="O438" s="14" t="s">
        <v>1448</v>
      </c>
      <c r="P438" s="14" t="s">
        <v>899</v>
      </c>
    </row>
    <row r="439" customFormat="false" ht="15" hidden="false" customHeight="false" outlineLevel="0" collapsed="false">
      <c r="A439" s="14" t="s">
        <v>1984</v>
      </c>
      <c r="B439" s="14" t="s">
        <v>909</v>
      </c>
      <c r="C439" s="14"/>
      <c r="D439" s="14" t="s">
        <v>14</v>
      </c>
      <c r="E439" s="14" t="s">
        <v>895</v>
      </c>
      <c r="F439" s="14" t="s">
        <v>910</v>
      </c>
      <c r="G439" s="14" t="s">
        <v>63</v>
      </c>
      <c r="H439" s="14" t="s">
        <v>1084</v>
      </c>
      <c r="I439" s="14" t="s">
        <v>1256</v>
      </c>
      <c r="J439" s="17" t="n">
        <v>2</v>
      </c>
      <c r="K439" s="14"/>
      <c r="L439" s="14"/>
      <c r="M439" s="14"/>
      <c r="N439" s="14"/>
      <c r="O439" s="14" t="s">
        <v>1448</v>
      </c>
      <c r="P439" s="14" t="s">
        <v>911</v>
      </c>
    </row>
    <row r="440" customFormat="false" ht="22.35" hidden="false" customHeight="false" outlineLevel="0" collapsed="false">
      <c r="A440" s="14" t="s">
        <v>1985</v>
      </c>
      <c r="B440" s="14" t="s">
        <v>912</v>
      </c>
      <c r="C440" s="14" t="s">
        <v>913</v>
      </c>
      <c r="D440" s="14" t="s">
        <v>14</v>
      </c>
      <c r="E440" s="14" t="s">
        <v>895</v>
      </c>
      <c r="F440" s="14" t="s">
        <v>903</v>
      </c>
      <c r="G440" s="14" t="s">
        <v>493</v>
      </c>
      <c r="H440" s="14" t="s">
        <v>1084</v>
      </c>
      <c r="I440" s="14" t="s">
        <v>1256</v>
      </c>
      <c r="J440" s="17" t="n">
        <v>2</v>
      </c>
      <c r="K440" s="14"/>
      <c r="L440" s="14"/>
      <c r="M440" s="14"/>
      <c r="N440" s="14"/>
      <c r="O440" s="14" t="s">
        <v>1259</v>
      </c>
      <c r="P440" s="14"/>
    </row>
    <row r="441" customFormat="false" ht="22.35" hidden="false" customHeight="false" outlineLevel="0" collapsed="false">
      <c r="A441" s="14" t="s">
        <v>1986</v>
      </c>
      <c r="B441" s="14" t="s">
        <v>914</v>
      </c>
      <c r="C441" s="14"/>
      <c r="D441" s="14" t="s">
        <v>14</v>
      </c>
      <c r="E441" s="14" t="s">
        <v>895</v>
      </c>
      <c r="F441" s="14" t="s">
        <v>915</v>
      </c>
      <c r="G441" s="14" t="s">
        <v>77</v>
      </c>
      <c r="H441" s="14" t="s">
        <v>1084</v>
      </c>
      <c r="I441" s="14" t="s">
        <v>1256</v>
      </c>
      <c r="J441" s="17" t="n">
        <v>2</v>
      </c>
      <c r="K441" s="14"/>
      <c r="L441" s="14"/>
      <c r="M441" s="14"/>
      <c r="N441" s="14"/>
      <c r="O441" s="14" t="s">
        <v>1259</v>
      </c>
      <c r="P441" s="14"/>
    </row>
    <row r="442" customFormat="false" ht="22.35" hidden="false" customHeight="false" outlineLevel="0" collapsed="false">
      <c r="A442" s="14" t="s">
        <v>1987</v>
      </c>
      <c r="B442" s="14" t="s">
        <v>916</v>
      </c>
      <c r="C442" s="14" t="s">
        <v>577</v>
      </c>
      <c r="D442" s="14" t="s">
        <v>14</v>
      </c>
      <c r="E442" s="14" t="s">
        <v>895</v>
      </c>
      <c r="F442" s="14" t="s">
        <v>824</v>
      </c>
      <c r="G442" s="14" t="s">
        <v>63</v>
      </c>
      <c r="H442" s="14" t="s">
        <v>1084</v>
      </c>
      <c r="I442" s="14" t="s">
        <v>1256</v>
      </c>
      <c r="J442" s="17" t="n">
        <v>2</v>
      </c>
      <c r="K442" s="14"/>
      <c r="L442" s="14"/>
      <c r="M442" s="14"/>
      <c r="N442" s="14"/>
      <c r="O442" s="14" t="s">
        <v>1259</v>
      </c>
      <c r="P442" s="14" t="s">
        <v>580</v>
      </c>
    </row>
    <row r="443" customFormat="false" ht="22.35" hidden="false" customHeight="false" outlineLevel="0" collapsed="false">
      <c r="A443" s="14" t="s">
        <v>1988</v>
      </c>
      <c r="B443" s="14" t="s">
        <v>368</v>
      </c>
      <c r="C443" s="14" t="s">
        <v>369</v>
      </c>
      <c r="D443" s="14" t="s">
        <v>14</v>
      </c>
      <c r="E443" s="14" t="s">
        <v>364</v>
      </c>
      <c r="F443" s="14" t="s">
        <v>370</v>
      </c>
      <c r="G443" s="14" t="s">
        <v>77</v>
      </c>
      <c r="H443" s="14" t="s">
        <v>1084</v>
      </c>
      <c r="I443" s="14" t="s">
        <v>1256</v>
      </c>
      <c r="J443" s="15" t="n">
        <v>1</v>
      </c>
      <c r="K443" s="14"/>
      <c r="L443" s="14"/>
      <c r="M443" s="14"/>
      <c r="N443" s="14"/>
      <c r="O443" s="14" t="s">
        <v>1259</v>
      </c>
      <c r="P443" s="14" t="s">
        <v>373</v>
      </c>
    </row>
    <row r="444" customFormat="false" ht="15" hidden="false" customHeight="false" outlineLevel="0" collapsed="false">
      <c r="A444" s="14" t="s">
        <v>1989</v>
      </c>
      <c r="B444" s="14" t="s">
        <v>917</v>
      </c>
      <c r="C444" s="14"/>
      <c r="D444" s="14" t="s">
        <v>14</v>
      </c>
      <c r="E444" s="14" t="s">
        <v>895</v>
      </c>
      <c r="F444" s="14" t="s">
        <v>553</v>
      </c>
      <c r="G444" s="14" t="s">
        <v>63</v>
      </c>
      <c r="H444" s="14" t="s">
        <v>1084</v>
      </c>
      <c r="I444" s="14" t="s">
        <v>1256</v>
      </c>
      <c r="J444" s="17" t="n">
        <v>2</v>
      </c>
      <c r="K444" s="14"/>
      <c r="L444" s="14"/>
      <c r="M444" s="14"/>
      <c r="N444" s="14"/>
      <c r="O444" s="14" t="s">
        <v>1448</v>
      </c>
      <c r="P444" s="14" t="s">
        <v>899</v>
      </c>
    </row>
    <row r="445" customFormat="false" ht="15" hidden="false" customHeight="false" outlineLevel="0" collapsed="false">
      <c r="A445" s="14" t="s">
        <v>1990</v>
      </c>
      <c r="B445" s="14" t="s">
        <v>918</v>
      </c>
      <c r="C445" s="14"/>
      <c r="D445" s="14" t="s">
        <v>14</v>
      </c>
      <c r="E445" s="14" t="s">
        <v>895</v>
      </c>
      <c r="F445" s="14" t="s">
        <v>919</v>
      </c>
      <c r="G445" s="14" t="s">
        <v>63</v>
      </c>
      <c r="H445" s="14" t="s">
        <v>1084</v>
      </c>
      <c r="I445" s="14" t="s">
        <v>1256</v>
      </c>
      <c r="J445" s="17" t="n">
        <v>2</v>
      </c>
      <c r="K445" s="14"/>
      <c r="L445" s="14"/>
      <c r="M445" s="14"/>
      <c r="N445" s="14"/>
      <c r="O445" s="14" t="s">
        <v>1448</v>
      </c>
      <c r="P445" s="14" t="s">
        <v>911</v>
      </c>
    </row>
    <row r="446" customFormat="false" ht="22.35" hidden="false" customHeight="false" outlineLevel="0" collapsed="false">
      <c r="A446" s="14" t="s">
        <v>1991</v>
      </c>
      <c r="B446" s="14" t="s">
        <v>374</v>
      </c>
      <c r="C446" s="14" t="s">
        <v>375</v>
      </c>
      <c r="D446" s="14" t="s">
        <v>14</v>
      </c>
      <c r="E446" s="14" t="s">
        <v>376</v>
      </c>
      <c r="F446" s="14" t="s">
        <v>377</v>
      </c>
      <c r="G446" s="14" t="s">
        <v>63</v>
      </c>
      <c r="H446" s="14" t="s">
        <v>1084</v>
      </c>
      <c r="I446" s="14" t="s">
        <v>1256</v>
      </c>
      <c r="J446" s="15" t="n">
        <v>1</v>
      </c>
      <c r="K446" s="14"/>
      <c r="L446" s="14"/>
      <c r="M446" s="14"/>
      <c r="N446" s="14"/>
      <c r="O446" s="14" t="s">
        <v>1259</v>
      </c>
      <c r="P446" s="14"/>
    </row>
    <row r="447" customFormat="false" ht="15" hidden="false" customHeight="false" outlineLevel="0" collapsed="false">
      <c r="A447" s="14" t="s">
        <v>1992</v>
      </c>
      <c r="B447" s="14" t="s">
        <v>920</v>
      </c>
      <c r="C447" s="14"/>
      <c r="D447" s="14" t="s">
        <v>14</v>
      </c>
      <c r="E447" s="14" t="s">
        <v>895</v>
      </c>
      <c r="F447" s="14" t="s">
        <v>921</v>
      </c>
      <c r="G447" s="14" t="s">
        <v>77</v>
      </c>
      <c r="H447" s="14" t="s">
        <v>1084</v>
      </c>
      <c r="I447" s="14" t="s">
        <v>1256</v>
      </c>
      <c r="J447" s="17" t="n">
        <v>2</v>
      </c>
      <c r="K447" s="14"/>
      <c r="L447" s="14"/>
      <c r="M447" s="14"/>
      <c r="N447" s="14"/>
      <c r="O447" s="14" t="s">
        <v>1448</v>
      </c>
      <c r="P447" s="14" t="s">
        <v>911</v>
      </c>
    </row>
    <row r="448" customFormat="false" ht="22.35" hidden="false" customHeight="false" outlineLevel="0" collapsed="false">
      <c r="A448" s="14" t="s">
        <v>1993</v>
      </c>
      <c r="B448" s="14" t="s">
        <v>922</v>
      </c>
      <c r="C448" s="14"/>
      <c r="D448" s="14" t="s">
        <v>14</v>
      </c>
      <c r="E448" s="14" t="s">
        <v>895</v>
      </c>
      <c r="F448" s="14" t="s">
        <v>923</v>
      </c>
      <c r="G448" s="14" t="s">
        <v>77</v>
      </c>
      <c r="H448" s="14" t="s">
        <v>1084</v>
      </c>
      <c r="I448" s="14" t="s">
        <v>1256</v>
      </c>
      <c r="J448" s="17" t="n">
        <v>2</v>
      </c>
      <c r="K448" s="14"/>
      <c r="L448" s="14"/>
      <c r="M448" s="14"/>
      <c r="N448" s="14"/>
      <c r="O448" s="14" t="s">
        <v>1259</v>
      </c>
      <c r="P448" s="14"/>
    </row>
    <row r="449" customFormat="false" ht="22.35" hidden="false" customHeight="false" outlineLevel="0" collapsed="false">
      <c r="A449" s="14" t="s">
        <v>1994</v>
      </c>
      <c r="B449" s="14" t="s">
        <v>924</v>
      </c>
      <c r="C449" s="14"/>
      <c r="D449" s="14" t="s">
        <v>14</v>
      </c>
      <c r="E449" s="14" t="s">
        <v>895</v>
      </c>
      <c r="F449" s="14" t="s">
        <v>925</v>
      </c>
      <c r="G449" s="14" t="s">
        <v>77</v>
      </c>
      <c r="H449" s="14" t="s">
        <v>1084</v>
      </c>
      <c r="I449" s="14" t="s">
        <v>1256</v>
      </c>
      <c r="J449" s="17" t="n">
        <v>2</v>
      </c>
      <c r="K449" s="14"/>
      <c r="L449" s="14"/>
      <c r="M449" s="14"/>
      <c r="N449" s="14"/>
      <c r="O449" s="14" t="s">
        <v>1259</v>
      </c>
      <c r="P449" s="14"/>
    </row>
    <row r="450" customFormat="false" ht="22.35" hidden="false" customHeight="false" outlineLevel="0" collapsed="false">
      <c r="A450" s="14" t="s">
        <v>1995</v>
      </c>
      <c r="B450" s="14" t="s">
        <v>926</v>
      </c>
      <c r="C450" s="14" t="s">
        <v>927</v>
      </c>
      <c r="D450" s="14" t="s">
        <v>14</v>
      </c>
      <c r="E450" s="14" t="s">
        <v>928</v>
      </c>
      <c r="F450" s="14" t="s">
        <v>606</v>
      </c>
      <c r="G450" s="14" t="s">
        <v>63</v>
      </c>
      <c r="H450" s="14" t="s">
        <v>1084</v>
      </c>
      <c r="I450" s="14" t="s">
        <v>1256</v>
      </c>
      <c r="J450" s="17" t="n">
        <v>2</v>
      </c>
      <c r="K450" s="14"/>
      <c r="L450" s="14"/>
      <c r="M450" s="14"/>
      <c r="N450" s="14"/>
      <c r="O450" s="14" t="s">
        <v>1259</v>
      </c>
      <c r="P450" s="14"/>
    </row>
    <row r="451" customFormat="false" ht="22.35" hidden="false" customHeight="false" outlineLevel="0" collapsed="false">
      <c r="A451" s="14" t="s">
        <v>1996</v>
      </c>
      <c r="B451" s="14" t="s">
        <v>929</v>
      </c>
      <c r="C451" s="14"/>
      <c r="D451" s="14" t="s">
        <v>14</v>
      </c>
      <c r="E451" s="14" t="s">
        <v>895</v>
      </c>
      <c r="F451" s="14" t="s">
        <v>930</v>
      </c>
      <c r="G451" s="14" t="s">
        <v>77</v>
      </c>
      <c r="H451" s="14" t="s">
        <v>1084</v>
      </c>
      <c r="I451" s="14" t="s">
        <v>1256</v>
      </c>
      <c r="J451" s="17" t="n">
        <v>2</v>
      </c>
      <c r="K451" s="14"/>
      <c r="L451" s="14"/>
      <c r="M451" s="14"/>
      <c r="N451" s="14"/>
      <c r="O451" s="14" t="s">
        <v>1997</v>
      </c>
      <c r="P451" s="14"/>
    </row>
    <row r="452" customFormat="false" ht="22.35" hidden="false" customHeight="false" outlineLevel="0" collapsed="false">
      <c r="A452" s="14" t="s">
        <v>1998</v>
      </c>
      <c r="B452" s="14" t="s">
        <v>933</v>
      </c>
      <c r="C452" s="14"/>
      <c r="D452" s="14" t="s">
        <v>14</v>
      </c>
      <c r="E452" s="14" t="s">
        <v>895</v>
      </c>
      <c r="F452" s="14" t="s">
        <v>934</v>
      </c>
      <c r="G452" s="14" t="s">
        <v>77</v>
      </c>
      <c r="H452" s="14" t="s">
        <v>1084</v>
      </c>
      <c r="I452" s="14" t="s">
        <v>1256</v>
      </c>
      <c r="J452" s="17" t="n">
        <v>2</v>
      </c>
      <c r="K452" s="14"/>
      <c r="L452" s="14"/>
      <c r="M452" s="14"/>
      <c r="N452" s="14"/>
      <c r="O452" s="14" t="s">
        <v>1259</v>
      </c>
      <c r="P452" s="14"/>
    </row>
    <row r="453" customFormat="false" ht="15" hidden="false" customHeight="false" outlineLevel="0" collapsed="false">
      <c r="A453" s="14" t="s">
        <v>1999</v>
      </c>
      <c r="B453" s="14" t="s">
        <v>935</v>
      </c>
      <c r="C453" s="14"/>
      <c r="D453" s="14" t="s">
        <v>14</v>
      </c>
      <c r="E453" s="14" t="s">
        <v>895</v>
      </c>
      <c r="F453" s="14" t="s">
        <v>553</v>
      </c>
      <c r="G453" s="14" t="s">
        <v>77</v>
      </c>
      <c r="H453" s="14" t="s">
        <v>1084</v>
      </c>
      <c r="I453" s="14" t="s">
        <v>1256</v>
      </c>
      <c r="J453" s="17" t="n">
        <v>2</v>
      </c>
      <c r="K453" s="14"/>
      <c r="L453" s="14"/>
      <c r="M453" s="14"/>
      <c r="N453" s="14"/>
      <c r="O453" s="14" t="s">
        <v>1448</v>
      </c>
      <c r="P453" s="14" t="s">
        <v>911</v>
      </c>
    </row>
    <row r="454" customFormat="false" ht="22.35" hidden="false" customHeight="false" outlineLevel="0" collapsed="false">
      <c r="A454" s="14" t="s">
        <v>2000</v>
      </c>
      <c r="B454" s="14" t="s">
        <v>936</v>
      </c>
      <c r="C454" s="14" t="s">
        <v>937</v>
      </c>
      <c r="D454" s="14" t="s">
        <v>14</v>
      </c>
      <c r="E454" s="14" t="s">
        <v>895</v>
      </c>
      <c r="F454" s="14" t="s">
        <v>938</v>
      </c>
      <c r="G454" s="14" t="s">
        <v>63</v>
      </c>
      <c r="H454" s="14" t="s">
        <v>1084</v>
      </c>
      <c r="I454" s="14" t="s">
        <v>1256</v>
      </c>
      <c r="J454" s="17" t="n">
        <v>2</v>
      </c>
      <c r="K454" s="14"/>
      <c r="L454" s="14"/>
      <c r="M454" s="14"/>
      <c r="N454" s="14"/>
      <c r="O454" s="14" t="s">
        <v>1259</v>
      </c>
      <c r="P454" s="14"/>
    </row>
    <row r="455" customFormat="false" ht="22.35" hidden="false" customHeight="false" outlineLevel="0" collapsed="false">
      <c r="A455" s="14" t="s">
        <v>2001</v>
      </c>
      <c r="B455" s="14" t="s">
        <v>939</v>
      </c>
      <c r="C455" s="14" t="s">
        <v>940</v>
      </c>
      <c r="D455" s="14" t="s">
        <v>14</v>
      </c>
      <c r="E455" s="14" t="s">
        <v>364</v>
      </c>
      <c r="F455" s="14" t="s">
        <v>941</v>
      </c>
      <c r="G455" s="14" t="s">
        <v>63</v>
      </c>
      <c r="H455" s="14" t="s">
        <v>1084</v>
      </c>
      <c r="I455" s="14" t="s">
        <v>1256</v>
      </c>
      <c r="J455" s="17" t="n">
        <v>2</v>
      </c>
      <c r="K455" s="14"/>
      <c r="L455" s="14"/>
      <c r="M455" s="14"/>
      <c r="N455" s="14"/>
      <c r="O455" s="14" t="s">
        <v>1259</v>
      </c>
      <c r="P455" s="14"/>
    </row>
    <row r="456" customFormat="false" ht="15" hidden="false" customHeight="false" outlineLevel="0" collapsed="false">
      <c r="A456" s="14" t="s">
        <v>2002</v>
      </c>
      <c r="B456" s="14" t="s">
        <v>942</v>
      </c>
      <c r="C456" s="14"/>
      <c r="D456" s="14" t="s">
        <v>14</v>
      </c>
      <c r="E456" s="14" t="s">
        <v>895</v>
      </c>
      <c r="F456" s="14" t="s">
        <v>553</v>
      </c>
      <c r="G456" s="14" t="s">
        <v>77</v>
      </c>
      <c r="H456" s="14" t="s">
        <v>1084</v>
      </c>
      <c r="I456" s="14" t="s">
        <v>1256</v>
      </c>
      <c r="J456" s="17" t="n">
        <v>2</v>
      </c>
      <c r="K456" s="14"/>
      <c r="L456" s="14"/>
      <c r="M456" s="14"/>
      <c r="N456" s="14"/>
      <c r="O456" s="14" t="s">
        <v>1448</v>
      </c>
      <c r="P456" s="14" t="s">
        <v>911</v>
      </c>
    </row>
    <row r="457" customFormat="false" ht="22.35" hidden="false" customHeight="false" outlineLevel="0" collapsed="false">
      <c r="A457" s="14" t="s">
        <v>2003</v>
      </c>
      <c r="B457" s="14" t="s">
        <v>943</v>
      </c>
      <c r="C457" s="14"/>
      <c r="D457" s="14" t="s">
        <v>14</v>
      </c>
      <c r="E457" s="14" t="s">
        <v>364</v>
      </c>
      <c r="F457" s="14" t="s">
        <v>944</v>
      </c>
      <c r="G457" s="14" t="s">
        <v>63</v>
      </c>
      <c r="H457" s="14" t="s">
        <v>1084</v>
      </c>
      <c r="I457" s="14" t="s">
        <v>1256</v>
      </c>
      <c r="J457" s="17" t="n">
        <v>2</v>
      </c>
      <c r="K457" s="14"/>
      <c r="L457" s="14"/>
      <c r="M457" s="14"/>
      <c r="N457" s="14"/>
      <c r="O457" s="14" t="s">
        <v>1259</v>
      </c>
      <c r="P457" s="14"/>
    </row>
    <row r="458" customFormat="false" ht="15" hidden="false" customHeight="false" outlineLevel="0" collapsed="false">
      <c r="A458" s="14" t="s">
        <v>2004</v>
      </c>
      <c r="B458" s="14" t="s">
        <v>945</v>
      </c>
      <c r="C458" s="14"/>
      <c r="D458" s="14" t="s">
        <v>14</v>
      </c>
      <c r="E458" s="14" t="s">
        <v>895</v>
      </c>
      <c r="F458" s="14" t="s">
        <v>553</v>
      </c>
      <c r="G458" s="14"/>
      <c r="H458" s="14" t="s">
        <v>1084</v>
      </c>
      <c r="I458" s="14" t="s">
        <v>1256</v>
      </c>
      <c r="J458" s="17" t="n">
        <v>2</v>
      </c>
      <c r="K458" s="14"/>
      <c r="L458" s="14"/>
      <c r="M458" s="14"/>
      <c r="N458" s="14"/>
      <c r="O458" s="14" t="s">
        <v>1448</v>
      </c>
      <c r="P458" s="14" t="s">
        <v>899</v>
      </c>
    </row>
    <row r="459" customFormat="false" ht="22.35" hidden="false" customHeight="false" outlineLevel="0" collapsed="false">
      <c r="A459" s="14" t="s">
        <v>2005</v>
      </c>
      <c r="B459" s="14" t="s">
        <v>946</v>
      </c>
      <c r="C459" s="14" t="s">
        <v>913</v>
      </c>
      <c r="D459" s="14" t="s">
        <v>14</v>
      </c>
      <c r="E459" s="14" t="s">
        <v>928</v>
      </c>
      <c r="F459" s="14" t="s">
        <v>947</v>
      </c>
      <c r="G459" s="14" t="s">
        <v>493</v>
      </c>
      <c r="H459" s="14" t="s">
        <v>1084</v>
      </c>
      <c r="I459" s="14" t="s">
        <v>1256</v>
      </c>
      <c r="J459" s="17" t="n">
        <v>2</v>
      </c>
      <c r="K459" s="14"/>
      <c r="L459" s="14"/>
      <c r="M459" s="14"/>
      <c r="N459" s="14"/>
      <c r="O459" s="14" t="s">
        <v>1259</v>
      </c>
      <c r="P459" s="14"/>
    </row>
    <row r="460" customFormat="false" ht="22.35" hidden="false" customHeight="false" outlineLevel="0" collapsed="false">
      <c r="A460" s="14" t="s">
        <v>2006</v>
      </c>
      <c r="B460" s="14" t="s">
        <v>948</v>
      </c>
      <c r="C460" s="14" t="s">
        <v>902</v>
      </c>
      <c r="D460" s="14" t="s">
        <v>14</v>
      </c>
      <c r="E460" s="14" t="s">
        <v>895</v>
      </c>
      <c r="F460" s="14" t="s">
        <v>949</v>
      </c>
      <c r="G460" s="14" t="s">
        <v>63</v>
      </c>
      <c r="H460" s="14" t="s">
        <v>1084</v>
      </c>
      <c r="I460" s="14" t="s">
        <v>1256</v>
      </c>
      <c r="J460" s="17" t="n">
        <v>2</v>
      </c>
      <c r="K460" s="14"/>
      <c r="L460" s="14"/>
      <c r="M460" s="14"/>
      <c r="N460" s="14"/>
      <c r="O460" s="14" t="s">
        <v>1259</v>
      </c>
      <c r="P460" s="14"/>
    </row>
    <row r="461" customFormat="false" ht="22.35" hidden="false" customHeight="false" outlineLevel="0" collapsed="false">
      <c r="A461" s="14" t="s">
        <v>2007</v>
      </c>
      <c r="B461" s="14" t="s">
        <v>950</v>
      </c>
      <c r="C461" s="14" t="s">
        <v>951</v>
      </c>
      <c r="D461" s="14" t="s">
        <v>14</v>
      </c>
      <c r="E461" s="14" t="s">
        <v>952</v>
      </c>
      <c r="F461" s="14" t="s">
        <v>925</v>
      </c>
      <c r="G461" s="14" t="s">
        <v>77</v>
      </c>
      <c r="H461" s="14" t="s">
        <v>1084</v>
      </c>
      <c r="I461" s="14" t="s">
        <v>1256</v>
      </c>
      <c r="J461" s="17" t="n">
        <v>2</v>
      </c>
      <c r="K461" s="14"/>
      <c r="L461" s="14"/>
      <c r="M461" s="14"/>
      <c r="N461" s="14"/>
      <c r="O461" s="14" t="s">
        <v>1259</v>
      </c>
      <c r="P461" s="14"/>
    </row>
    <row r="462" customFormat="false" ht="15" hidden="false" customHeight="false" outlineLevel="0" collapsed="false">
      <c r="A462" s="14" t="s">
        <v>2008</v>
      </c>
      <c r="B462" s="14" t="s">
        <v>2009</v>
      </c>
      <c r="C462" s="14"/>
      <c r="D462" s="14" t="s">
        <v>8</v>
      </c>
      <c r="E462" s="14" t="s">
        <v>2010</v>
      </c>
      <c r="F462" s="14"/>
      <c r="G462" s="14"/>
      <c r="H462" s="14" t="s">
        <v>1278</v>
      </c>
      <c r="I462" s="14" t="s">
        <v>1256</v>
      </c>
      <c r="J462" s="14"/>
      <c r="K462" s="14"/>
      <c r="L462" s="14"/>
      <c r="M462" s="14"/>
      <c r="N462" s="14"/>
      <c r="O462" s="14" t="s">
        <v>1279</v>
      </c>
      <c r="P462" s="14"/>
    </row>
    <row r="463" customFormat="false" ht="53.7" hidden="false" customHeight="false" outlineLevel="0" collapsed="false">
      <c r="A463" s="14" t="s">
        <v>2011</v>
      </c>
      <c r="B463" s="14" t="s">
        <v>2012</v>
      </c>
      <c r="C463" s="14"/>
      <c r="D463" s="14" t="s">
        <v>8</v>
      </c>
      <c r="E463" s="14" t="s">
        <v>2013</v>
      </c>
      <c r="F463" s="14"/>
      <c r="G463" s="14" t="s">
        <v>2014</v>
      </c>
      <c r="H463" s="14" t="s">
        <v>1278</v>
      </c>
      <c r="I463" s="14" t="s">
        <v>1256</v>
      </c>
      <c r="J463" s="14"/>
      <c r="K463" s="14"/>
      <c r="L463" s="14"/>
      <c r="M463" s="14"/>
      <c r="N463" s="14"/>
      <c r="O463" s="14" t="s">
        <v>1279</v>
      </c>
      <c r="P463" s="14"/>
    </row>
    <row r="464" customFormat="false" ht="15" hidden="false" customHeight="false" outlineLevel="0" collapsed="false">
      <c r="A464" s="14" t="s">
        <v>2015</v>
      </c>
      <c r="B464" s="14" t="s">
        <v>2016</v>
      </c>
      <c r="C464" s="14"/>
      <c r="D464" s="14" t="s">
        <v>8</v>
      </c>
      <c r="E464" s="14" t="s">
        <v>2010</v>
      </c>
      <c r="F464" s="14"/>
      <c r="G464" s="14"/>
      <c r="H464" s="14" t="s">
        <v>1278</v>
      </c>
      <c r="I464" s="14" t="s">
        <v>1256</v>
      </c>
      <c r="J464" s="14"/>
      <c r="K464" s="14"/>
      <c r="L464" s="14"/>
      <c r="M464" s="14"/>
      <c r="N464" s="14"/>
      <c r="O464" s="14" t="s">
        <v>1279</v>
      </c>
      <c r="P464" s="14"/>
    </row>
    <row r="465" customFormat="false" ht="22.35" hidden="false" customHeight="false" outlineLevel="0" collapsed="false">
      <c r="A465" s="14" t="s">
        <v>2017</v>
      </c>
      <c r="B465" s="14" t="s">
        <v>2018</v>
      </c>
      <c r="C465" s="14"/>
      <c r="D465" s="14" t="s">
        <v>8</v>
      </c>
      <c r="E465" s="14" t="s">
        <v>2013</v>
      </c>
      <c r="F465" s="14"/>
      <c r="G465" s="14" t="s">
        <v>63</v>
      </c>
      <c r="H465" s="14" t="s">
        <v>1278</v>
      </c>
      <c r="I465" s="14" t="s">
        <v>1256</v>
      </c>
      <c r="J465" s="14"/>
      <c r="K465" s="14"/>
      <c r="L465" s="14"/>
      <c r="M465" s="14"/>
      <c r="N465" s="14"/>
      <c r="O465" s="14" t="s">
        <v>1279</v>
      </c>
      <c r="P465" s="14"/>
    </row>
    <row r="466" customFormat="false" ht="22.35" hidden="false" customHeight="false" outlineLevel="0" collapsed="false">
      <c r="A466" s="14" t="s">
        <v>2019</v>
      </c>
      <c r="B466" s="14" t="s">
        <v>2020</v>
      </c>
      <c r="C466" s="14"/>
      <c r="D466" s="14" t="s">
        <v>8</v>
      </c>
      <c r="E466" s="14" t="s">
        <v>2013</v>
      </c>
      <c r="F466" s="14"/>
      <c r="G466" s="14" t="s">
        <v>63</v>
      </c>
      <c r="H466" s="14" t="s">
        <v>1278</v>
      </c>
      <c r="I466" s="14" t="s">
        <v>1256</v>
      </c>
      <c r="J466" s="14"/>
      <c r="K466" s="14"/>
      <c r="L466" s="14"/>
      <c r="M466" s="14"/>
      <c r="N466" s="14"/>
      <c r="O466" s="14" t="s">
        <v>1279</v>
      </c>
      <c r="P466" s="14"/>
    </row>
    <row r="467" customFormat="false" ht="15" hidden="false" customHeight="false" outlineLevel="0" collapsed="false">
      <c r="A467" s="14" t="s">
        <v>2021</v>
      </c>
      <c r="B467" s="14" t="s">
        <v>2022</v>
      </c>
      <c r="C467" s="14"/>
      <c r="D467" s="14" t="s">
        <v>8</v>
      </c>
      <c r="E467" s="14" t="s">
        <v>2010</v>
      </c>
      <c r="F467" s="14"/>
      <c r="G467" s="14"/>
      <c r="H467" s="14" t="s">
        <v>1278</v>
      </c>
      <c r="I467" s="14" t="s">
        <v>1256</v>
      </c>
      <c r="J467" s="14"/>
      <c r="K467" s="14"/>
      <c r="L467" s="14"/>
      <c r="M467" s="14"/>
      <c r="N467" s="14"/>
      <c r="O467" s="14" t="s">
        <v>1279</v>
      </c>
      <c r="P467" s="14"/>
    </row>
    <row r="468" customFormat="false" ht="53.7" hidden="false" customHeight="false" outlineLevel="0" collapsed="false">
      <c r="A468" s="14" t="s">
        <v>2023</v>
      </c>
      <c r="B468" s="14" t="s">
        <v>2024</v>
      </c>
      <c r="C468" s="14"/>
      <c r="D468" s="14" t="s">
        <v>8</v>
      </c>
      <c r="E468" s="14" t="s">
        <v>2013</v>
      </c>
      <c r="F468" s="14"/>
      <c r="G468" s="14" t="s">
        <v>2025</v>
      </c>
      <c r="H468" s="14" t="s">
        <v>1278</v>
      </c>
      <c r="I468" s="14" t="s">
        <v>2026</v>
      </c>
      <c r="J468" s="14"/>
      <c r="K468" s="14"/>
      <c r="L468" s="14"/>
      <c r="M468" s="14"/>
      <c r="N468" s="14"/>
      <c r="O468" s="14" t="s">
        <v>1279</v>
      </c>
      <c r="P468" s="14"/>
    </row>
    <row r="469" customFormat="false" ht="15" hidden="false" customHeight="false" outlineLevel="0" collapsed="false">
      <c r="A469" s="14" t="s">
        <v>2027</v>
      </c>
      <c r="B469" s="14" t="s">
        <v>2028</v>
      </c>
      <c r="C469" s="14"/>
      <c r="D469" s="14" t="s">
        <v>8</v>
      </c>
      <c r="E469" s="14" t="s">
        <v>2010</v>
      </c>
      <c r="F469" s="14"/>
      <c r="G469" s="14"/>
      <c r="H469" s="14" t="s">
        <v>1278</v>
      </c>
      <c r="I469" s="14" t="s">
        <v>1256</v>
      </c>
      <c r="J469" s="14"/>
      <c r="K469" s="14"/>
      <c r="L469" s="14"/>
      <c r="M469" s="14"/>
      <c r="N469" s="14"/>
      <c r="O469" s="14" t="s">
        <v>1279</v>
      </c>
      <c r="P469" s="14"/>
    </row>
    <row r="470" customFormat="false" ht="15" hidden="false" customHeight="false" outlineLevel="0" collapsed="false">
      <c r="A470" s="14" t="s">
        <v>2029</v>
      </c>
      <c r="B470" s="14" t="s">
        <v>2030</v>
      </c>
      <c r="C470" s="14"/>
      <c r="D470" s="14" t="s">
        <v>8</v>
      </c>
      <c r="E470" s="14" t="s">
        <v>2010</v>
      </c>
      <c r="F470" s="14"/>
      <c r="G470" s="14"/>
      <c r="H470" s="14" t="s">
        <v>1278</v>
      </c>
      <c r="I470" s="14" t="s">
        <v>1256</v>
      </c>
      <c r="J470" s="14"/>
      <c r="K470" s="14"/>
      <c r="L470" s="14"/>
      <c r="M470" s="14"/>
      <c r="N470" s="14"/>
      <c r="O470" s="14" t="s">
        <v>1279</v>
      </c>
      <c r="P470" s="14"/>
    </row>
    <row r="471" customFormat="false" ht="15" hidden="false" customHeight="false" outlineLevel="0" collapsed="false">
      <c r="A471" s="14" t="s">
        <v>2031</v>
      </c>
      <c r="B471" s="14" t="s">
        <v>2032</v>
      </c>
      <c r="C471" s="14"/>
      <c r="D471" s="14" t="s">
        <v>8</v>
      </c>
      <c r="E471" s="14" t="s">
        <v>2010</v>
      </c>
      <c r="F471" s="14"/>
      <c r="G471" s="14"/>
      <c r="H471" s="14" t="s">
        <v>1278</v>
      </c>
      <c r="I471" s="14" t="s">
        <v>1256</v>
      </c>
      <c r="J471" s="14"/>
      <c r="K471" s="14"/>
      <c r="L471" s="14"/>
      <c r="M471" s="14"/>
      <c r="N471" s="14"/>
      <c r="O471" s="14" t="s">
        <v>1279</v>
      </c>
      <c r="P471" s="14"/>
    </row>
    <row r="472" customFormat="false" ht="22.35" hidden="false" customHeight="false" outlineLevel="0" collapsed="false">
      <c r="A472" s="14" t="s">
        <v>2033</v>
      </c>
      <c r="B472" s="14" t="s">
        <v>2034</v>
      </c>
      <c r="C472" s="14"/>
      <c r="D472" s="14" t="s">
        <v>8</v>
      </c>
      <c r="E472" s="14" t="s">
        <v>2013</v>
      </c>
      <c r="F472" s="14"/>
      <c r="G472" s="14" t="s">
        <v>63</v>
      </c>
      <c r="H472" s="14" t="s">
        <v>1278</v>
      </c>
      <c r="I472" s="14" t="s">
        <v>1256</v>
      </c>
      <c r="J472" s="14"/>
      <c r="K472" s="14"/>
      <c r="L472" s="14"/>
      <c r="M472" s="14"/>
      <c r="N472" s="14"/>
      <c r="O472" s="14" t="s">
        <v>1279</v>
      </c>
      <c r="P472" s="14"/>
    </row>
    <row r="473" customFormat="false" ht="22.35" hidden="false" customHeight="false" outlineLevel="0" collapsed="false">
      <c r="A473" s="14" t="s">
        <v>2035</v>
      </c>
      <c r="B473" s="14" t="s">
        <v>2036</v>
      </c>
      <c r="C473" s="14"/>
      <c r="D473" s="14" t="s">
        <v>8</v>
      </c>
      <c r="E473" s="14" t="s">
        <v>2013</v>
      </c>
      <c r="F473" s="14"/>
      <c r="G473" s="14" t="s">
        <v>63</v>
      </c>
      <c r="H473" s="14" t="s">
        <v>1278</v>
      </c>
      <c r="I473" s="14" t="s">
        <v>1256</v>
      </c>
      <c r="J473" s="14"/>
      <c r="K473" s="14"/>
      <c r="L473" s="14"/>
      <c r="M473" s="14"/>
      <c r="N473" s="14"/>
      <c r="O473" s="14" t="s">
        <v>1279</v>
      </c>
      <c r="P473" s="14"/>
    </row>
    <row r="474" customFormat="false" ht="22.35" hidden="false" customHeight="false" outlineLevel="0" collapsed="false">
      <c r="A474" s="14" t="s">
        <v>2037</v>
      </c>
      <c r="B474" s="14" t="s">
        <v>2038</v>
      </c>
      <c r="C474" s="14"/>
      <c r="D474" s="14" t="s">
        <v>8</v>
      </c>
      <c r="E474" s="14" t="s">
        <v>2013</v>
      </c>
      <c r="F474" s="14"/>
      <c r="G474" s="14" t="s">
        <v>63</v>
      </c>
      <c r="H474" s="14" t="s">
        <v>1278</v>
      </c>
      <c r="I474" s="14" t="s">
        <v>1256</v>
      </c>
      <c r="J474" s="14"/>
      <c r="K474" s="14"/>
      <c r="L474" s="14"/>
      <c r="M474" s="14"/>
      <c r="N474" s="14"/>
      <c r="O474" s="14" t="s">
        <v>1279</v>
      </c>
      <c r="P474" s="14"/>
    </row>
    <row r="475" customFormat="false" ht="53.7" hidden="false" customHeight="false" outlineLevel="0" collapsed="false">
      <c r="A475" s="14" t="s">
        <v>2039</v>
      </c>
      <c r="B475" s="14" t="s">
        <v>2040</v>
      </c>
      <c r="C475" s="14"/>
      <c r="D475" s="14" t="s">
        <v>8</v>
      </c>
      <c r="E475" s="14" t="s">
        <v>2013</v>
      </c>
      <c r="F475" s="14"/>
      <c r="G475" s="14" t="s">
        <v>2041</v>
      </c>
      <c r="H475" s="14" t="s">
        <v>1278</v>
      </c>
      <c r="I475" s="14" t="s">
        <v>2026</v>
      </c>
      <c r="J475" s="14"/>
      <c r="K475" s="14"/>
      <c r="L475" s="14"/>
      <c r="M475" s="14"/>
      <c r="N475" s="14"/>
      <c r="O475" s="14" t="s">
        <v>1279</v>
      </c>
      <c r="P475" s="14"/>
    </row>
    <row r="476" customFormat="false" ht="43.25" hidden="false" customHeight="false" outlineLevel="0" collapsed="false">
      <c r="A476" s="14" t="s">
        <v>2042</v>
      </c>
      <c r="B476" s="14" t="s">
        <v>2043</v>
      </c>
      <c r="C476" s="14"/>
      <c r="D476" s="14" t="s">
        <v>8</v>
      </c>
      <c r="E476" s="14" t="s">
        <v>2013</v>
      </c>
      <c r="F476" s="14"/>
      <c r="G476" s="14" t="s">
        <v>2044</v>
      </c>
      <c r="H476" s="14" t="s">
        <v>1278</v>
      </c>
      <c r="I476" s="14" t="s">
        <v>2026</v>
      </c>
      <c r="J476" s="14"/>
      <c r="K476" s="14"/>
      <c r="L476" s="14"/>
      <c r="M476" s="14"/>
      <c r="N476" s="14"/>
      <c r="O476" s="14" t="s">
        <v>1279</v>
      </c>
      <c r="P476" s="14"/>
    </row>
    <row r="477" customFormat="false" ht="22.35" hidden="false" customHeight="false" outlineLevel="0" collapsed="false">
      <c r="A477" s="14" t="s">
        <v>2045</v>
      </c>
      <c r="B477" s="14" t="s">
        <v>2046</v>
      </c>
      <c r="C477" s="14"/>
      <c r="D477" s="14" t="s">
        <v>8</v>
      </c>
      <c r="E477" s="14" t="s">
        <v>2013</v>
      </c>
      <c r="F477" s="14"/>
      <c r="G477" s="14" t="s">
        <v>63</v>
      </c>
      <c r="H477" s="14" t="s">
        <v>1278</v>
      </c>
      <c r="I477" s="14" t="s">
        <v>1256</v>
      </c>
      <c r="J477" s="14"/>
      <c r="K477" s="14"/>
      <c r="L477" s="14"/>
      <c r="M477" s="14"/>
      <c r="N477" s="14"/>
      <c r="O477" s="14" t="s">
        <v>1279</v>
      </c>
      <c r="P477" s="14"/>
    </row>
    <row r="478" customFormat="false" ht="22.35" hidden="false" customHeight="false" outlineLevel="0" collapsed="false">
      <c r="A478" s="14" t="s">
        <v>2047</v>
      </c>
      <c r="B478" s="14" t="s">
        <v>2048</v>
      </c>
      <c r="C478" s="14"/>
      <c r="D478" s="14" t="s">
        <v>8</v>
      </c>
      <c r="E478" s="14" t="s">
        <v>2013</v>
      </c>
      <c r="F478" s="14"/>
      <c r="G478" s="14" t="s">
        <v>63</v>
      </c>
      <c r="H478" s="14" t="s">
        <v>1278</v>
      </c>
      <c r="I478" s="14" t="s">
        <v>1256</v>
      </c>
      <c r="J478" s="14"/>
      <c r="K478" s="14"/>
      <c r="L478" s="14"/>
      <c r="M478" s="14"/>
      <c r="N478" s="14"/>
      <c r="O478" s="14" t="s">
        <v>1279</v>
      </c>
      <c r="P478" s="14"/>
    </row>
    <row r="479" customFormat="false" ht="53.7" hidden="false" customHeight="false" outlineLevel="0" collapsed="false">
      <c r="A479" s="14" t="s">
        <v>2049</v>
      </c>
      <c r="B479" s="14" t="s">
        <v>2050</v>
      </c>
      <c r="C479" s="14"/>
      <c r="D479" s="14" t="s">
        <v>8</v>
      </c>
      <c r="E479" s="14" t="s">
        <v>2010</v>
      </c>
      <c r="F479" s="14"/>
      <c r="G479" s="14" t="s">
        <v>2051</v>
      </c>
      <c r="H479" s="14" t="s">
        <v>1278</v>
      </c>
      <c r="I479" s="14" t="s">
        <v>1256</v>
      </c>
      <c r="J479" s="14"/>
      <c r="K479" s="14"/>
      <c r="L479" s="14"/>
      <c r="M479" s="14"/>
      <c r="N479" s="14"/>
      <c r="O479" s="14" t="s">
        <v>1279</v>
      </c>
      <c r="P479" s="14"/>
    </row>
    <row r="480" customFormat="false" ht="22.35" hidden="false" customHeight="false" outlineLevel="0" collapsed="false">
      <c r="A480" s="14" t="s">
        <v>2052</v>
      </c>
      <c r="B480" s="14" t="s">
        <v>2053</v>
      </c>
      <c r="C480" s="14"/>
      <c r="D480" s="14" t="s">
        <v>8</v>
      </c>
      <c r="E480" s="14" t="s">
        <v>2054</v>
      </c>
      <c r="F480" s="14"/>
      <c r="G480" s="14" t="s">
        <v>2055</v>
      </c>
      <c r="H480" s="14" t="s">
        <v>1278</v>
      </c>
      <c r="I480" s="14" t="s">
        <v>1291</v>
      </c>
      <c r="J480" s="14"/>
      <c r="K480" s="14"/>
      <c r="L480" s="14"/>
      <c r="M480" s="14"/>
      <c r="N480" s="14"/>
      <c r="O480" s="14" t="s">
        <v>1279</v>
      </c>
      <c r="P480" s="14"/>
    </row>
    <row r="481" customFormat="false" ht="22.35" hidden="false" customHeight="false" outlineLevel="0" collapsed="false">
      <c r="A481" s="14" t="s">
        <v>2056</v>
      </c>
      <c r="B481" s="14" t="s">
        <v>2057</v>
      </c>
      <c r="C481" s="14"/>
      <c r="D481" s="14" t="s">
        <v>8</v>
      </c>
      <c r="E481" s="14" t="s">
        <v>2013</v>
      </c>
      <c r="F481" s="14"/>
      <c r="G481" s="14" t="s">
        <v>63</v>
      </c>
      <c r="H481" s="14" t="s">
        <v>1278</v>
      </c>
      <c r="I481" s="14" t="s">
        <v>1256</v>
      </c>
      <c r="J481" s="14"/>
      <c r="K481" s="14"/>
      <c r="L481" s="14"/>
      <c r="M481" s="14"/>
      <c r="N481" s="14"/>
      <c r="O481" s="14" t="s">
        <v>1279</v>
      </c>
      <c r="P481" s="14"/>
    </row>
    <row r="482" customFormat="false" ht="15" hidden="false" customHeight="false" outlineLevel="0" collapsed="false">
      <c r="A482" s="14" t="s">
        <v>2058</v>
      </c>
      <c r="B482" s="14" t="s">
        <v>2059</v>
      </c>
      <c r="C482" s="14"/>
      <c r="D482" s="14" t="s">
        <v>8</v>
      </c>
      <c r="E482" s="14" t="s">
        <v>2010</v>
      </c>
      <c r="F482" s="14"/>
      <c r="G482" s="14"/>
      <c r="H482" s="14" t="s">
        <v>1278</v>
      </c>
      <c r="I482" s="14" t="s">
        <v>1256</v>
      </c>
      <c r="J482" s="14"/>
      <c r="K482" s="14"/>
      <c r="L482" s="14"/>
      <c r="M482" s="14"/>
      <c r="N482" s="14"/>
      <c r="O482" s="14" t="s">
        <v>1279</v>
      </c>
      <c r="P482" s="14"/>
    </row>
    <row r="483" customFormat="false" ht="22.35" hidden="false" customHeight="false" outlineLevel="0" collapsed="false">
      <c r="A483" s="14" t="s">
        <v>2060</v>
      </c>
      <c r="B483" s="14" t="s">
        <v>2061</v>
      </c>
      <c r="C483" s="14"/>
      <c r="D483" s="14" t="s">
        <v>8</v>
      </c>
      <c r="E483" s="14" t="s">
        <v>2013</v>
      </c>
      <c r="F483" s="14"/>
      <c r="G483" s="14" t="s">
        <v>63</v>
      </c>
      <c r="H483" s="14" t="s">
        <v>1278</v>
      </c>
      <c r="I483" s="14" t="s">
        <v>1256</v>
      </c>
      <c r="J483" s="14"/>
      <c r="K483" s="14"/>
      <c r="L483" s="14"/>
      <c r="M483" s="14"/>
      <c r="N483" s="14"/>
      <c r="O483" s="14" t="s">
        <v>1279</v>
      </c>
      <c r="P483" s="14"/>
    </row>
    <row r="484" customFormat="false" ht="22.35" hidden="false" customHeight="false" outlineLevel="0" collapsed="false">
      <c r="A484" s="14" t="s">
        <v>2062</v>
      </c>
      <c r="B484" s="14" t="s">
        <v>2063</v>
      </c>
      <c r="C484" s="14"/>
      <c r="D484" s="14" t="s">
        <v>8</v>
      </c>
      <c r="E484" s="14" t="s">
        <v>2013</v>
      </c>
      <c r="F484" s="14"/>
      <c r="G484" s="14" t="s">
        <v>63</v>
      </c>
      <c r="H484" s="14" t="s">
        <v>1278</v>
      </c>
      <c r="I484" s="14" t="s">
        <v>1256</v>
      </c>
      <c r="J484" s="14"/>
      <c r="K484" s="14"/>
      <c r="L484" s="14"/>
      <c r="M484" s="14"/>
      <c r="N484" s="14"/>
      <c r="O484" s="14" t="s">
        <v>1279</v>
      </c>
      <c r="P484" s="14"/>
    </row>
    <row r="485" customFormat="false" ht="22.35" hidden="false" customHeight="false" outlineLevel="0" collapsed="false">
      <c r="A485" s="14" t="s">
        <v>2064</v>
      </c>
      <c r="B485" s="14" t="s">
        <v>2065</v>
      </c>
      <c r="C485" s="14"/>
      <c r="D485" s="14" t="s">
        <v>8</v>
      </c>
      <c r="E485" s="14" t="s">
        <v>2013</v>
      </c>
      <c r="F485" s="14"/>
      <c r="G485" s="14" t="s">
        <v>63</v>
      </c>
      <c r="H485" s="14" t="s">
        <v>1278</v>
      </c>
      <c r="I485" s="14" t="s">
        <v>1256</v>
      </c>
      <c r="J485" s="14"/>
      <c r="K485" s="14"/>
      <c r="L485" s="14"/>
      <c r="M485" s="14"/>
      <c r="N485" s="14"/>
      <c r="O485" s="14" t="s">
        <v>1279</v>
      </c>
      <c r="P485" s="14"/>
    </row>
    <row r="486" customFormat="false" ht="15" hidden="false" customHeight="false" outlineLevel="0" collapsed="false">
      <c r="A486" s="14" t="s">
        <v>2066</v>
      </c>
      <c r="B486" s="14" t="s">
        <v>2067</v>
      </c>
      <c r="C486" s="14"/>
      <c r="D486" s="14" t="s">
        <v>8</v>
      </c>
      <c r="E486" s="14" t="s">
        <v>2010</v>
      </c>
      <c r="F486" s="14"/>
      <c r="G486" s="14"/>
      <c r="H486" s="14" t="s">
        <v>1278</v>
      </c>
      <c r="I486" s="14" t="s">
        <v>1256</v>
      </c>
      <c r="J486" s="14"/>
      <c r="K486" s="14"/>
      <c r="L486" s="14"/>
      <c r="M486" s="14"/>
      <c r="N486" s="14"/>
      <c r="O486" s="14" t="s">
        <v>1279</v>
      </c>
      <c r="P486" s="14"/>
    </row>
    <row r="487" customFormat="false" ht="15" hidden="false" customHeight="false" outlineLevel="0" collapsed="false">
      <c r="A487" s="14" t="s">
        <v>2068</v>
      </c>
      <c r="B487" s="14" t="s">
        <v>2069</v>
      </c>
      <c r="C487" s="14"/>
      <c r="D487" s="14" t="s">
        <v>8</v>
      </c>
      <c r="E487" s="14" t="s">
        <v>2054</v>
      </c>
      <c r="F487" s="14"/>
      <c r="G487" s="14" t="s">
        <v>77</v>
      </c>
      <c r="H487" s="14" t="s">
        <v>1278</v>
      </c>
      <c r="I487" s="14" t="s">
        <v>1107</v>
      </c>
      <c r="J487" s="14"/>
      <c r="K487" s="14"/>
      <c r="L487" s="14"/>
      <c r="M487" s="14"/>
      <c r="N487" s="14"/>
      <c r="O487" s="14" t="s">
        <v>1279</v>
      </c>
      <c r="P487" s="14"/>
    </row>
    <row r="488" customFormat="false" ht="15" hidden="false" customHeight="false" outlineLevel="0" collapsed="false">
      <c r="A488" s="14" t="s">
        <v>2070</v>
      </c>
      <c r="B488" s="14" t="s">
        <v>2071</v>
      </c>
      <c r="C488" s="14"/>
      <c r="D488" s="14" t="s">
        <v>8</v>
      </c>
      <c r="E488" s="14" t="s">
        <v>2010</v>
      </c>
      <c r="F488" s="14"/>
      <c r="G488" s="14"/>
      <c r="H488" s="14" t="s">
        <v>1278</v>
      </c>
      <c r="I488" s="14" t="s">
        <v>1256</v>
      </c>
      <c r="J488" s="14"/>
      <c r="K488" s="14"/>
      <c r="L488" s="14"/>
      <c r="M488" s="14"/>
      <c r="N488" s="14"/>
      <c r="O488" s="14" t="s">
        <v>1279</v>
      </c>
      <c r="P488" s="14"/>
    </row>
    <row r="489" customFormat="false" ht="22.35" hidden="false" customHeight="false" outlineLevel="0" collapsed="false">
      <c r="A489" s="14" t="s">
        <v>2072</v>
      </c>
      <c r="B489" s="14" t="s">
        <v>2073</v>
      </c>
      <c r="C489" s="14"/>
      <c r="D489" s="14" t="s">
        <v>8</v>
      </c>
      <c r="E489" s="14" t="s">
        <v>2013</v>
      </c>
      <c r="F489" s="14"/>
      <c r="G489" s="14" t="s">
        <v>63</v>
      </c>
      <c r="H489" s="14" t="s">
        <v>1278</v>
      </c>
      <c r="I489" s="14" t="s">
        <v>1256</v>
      </c>
      <c r="J489" s="14"/>
      <c r="K489" s="14"/>
      <c r="L489" s="14"/>
      <c r="M489" s="14"/>
      <c r="N489" s="14"/>
      <c r="O489" s="14" t="s">
        <v>1279</v>
      </c>
      <c r="P489" s="14"/>
    </row>
    <row r="490" customFormat="false" ht="15" hidden="false" customHeight="false" outlineLevel="0" collapsed="false">
      <c r="A490" s="14" t="s">
        <v>2074</v>
      </c>
      <c r="B490" s="14" t="s">
        <v>2075</v>
      </c>
      <c r="C490" s="14"/>
      <c r="D490" s="14" t="s">
        <v>8</v>
      </c>
      <c r="E490" s="14" t="s">
        <v>2010</v>
      </c>
      <c r="F490" s="14"/>
      <c r="G490" s="14"/>
      <c r="H490" s="14" t="s">
        <v>1278</v>
      </c>
      <c r="I490" s="14" t="s">
        <v>1256</v>
      </c>
      <c r="J490" s="14"/>
      <c r="K490" s="14"/>
      <c r="L490" s="14"/>
      <c r="M490" s="14"/>
      <c r="N490" s="14"/>
      <c r="O490" s="14" t="s">
        <v>1279</v>
      </c>
      <c r="P490" s="14"/>
    </row>
    <row r="491" customFormat="false" ht="22.35" hidden="false" customHeight="false" outlineLevel="0" collapsed="false">
      <c r="A491" s="14" t="s">
        <v>2076</v>
      </c>
      <c r="B491" s="14" t="s">
        <v>2077</v>
      </c>
      <c r="C491" s="14"/>
      <c r="D491" s="14" t="s">
        <v>8</v>
      </c>
      <c r="E491" s="14" t="s">
        <v>2013</v>
      </c>
      <c r="F491" s="14"/>
      <c r="G491" s="14" t="s">
        <v>63</v>
      </c>
      <c r="H491" s="14" t="s">
        <v>1278</v>
      </c>
      <c r="I491" s="14" t="s">
        <v>1256</v>
      </c>
      <c r="J491" s="14"/>
      <c r="K491" s="14"/>
      <c r="L491" s="14"/>
      <c r="M491" s="14"/>
      <c r="N491" s="14"/>
      <c r="O491" s="14" t="s">
        <v>1279</v>
      </c>
      <c r="P491" s="14"/>
    </row>
    <row r="492" customFormat="false" ht="22.35" hidden="false" customHeight="false" outlineLevel="0" collapsed="false">
      <c r="A492" s="14" t="s">
        <v>2078</v>
      </c>
      <c r="B492" s="14" t="s">
        <v>2079</v>
      </c>
      <c r="C492" s="14"/>
      <c r="D492" s="14" t="s">
        <v>8</v>
      </c>
      <c r="E492" s="14" t="s">
        <v>2013</v>
      </c>
      <c r="F492" s="14"/>
      <c r="G492" s="14" t="s">
        <v>63</v>
      </c>
      <c r="H492" s="14" t="s">
        <v>1278</v>
      </c>
      <c r="I492" s="14" t="s">
        <v>1256</v>
      </c>
      <c r="J492" s="14"/>
      <c r="K492" s="14"/>
      <c r="L492" s="14"/>
      <c r="M492" s="14"/>
      <c r="N492" s="14"/>
      <c r="O492" s="14" t="s">
        <v>1279</v>
      </c>
      <c r="P492" s="14"/>
    </row>
    <row r="493" customFormat="false" ht="15" hidden="false" customHeight="false" outlineLevel="0" collapsed="false">
      <c r="A493" s="14" t="s">
        <v>2080</v>
      </c>
      <c r="B493" s="14" t="s">
        <v>2081</v>
      </c>
      <c r="C493" s="14"/>
      <c r="D493" s="14" t="s">
        <v>8</v>
      </c>
      <c r="E493" s="14" t="s">
        <v>2010</v>
      </c>
      <c r="F493" s="14"/>
      <c r="G493" s="14"/>
      <c r="H493" s="14" t="s">
        <v>1278</v>
      </c>
      <c r="I493" s="14" t="s">
        <v>1256</v>
      </c>
      <c r="J493" s="14"/>
      <c r="K493" s="14"/>
      <c r="L493" s="14"/>
      <c r="M493" s="14"/>
      <c r="N493" s="14"/>
      <c r="O493" s="14" t="s">
        <v>1279</v>
      </c>
      <c r="P493" s="14"/>
    </row>
    <row r="494" customFormat="false" ht="22.35" hidden="false" customHeight="false" outlineLevel="0" collapsed="false">
      <c r="A494" s="14" t="s">
        <v>2082</v>
      </c>
      <c r="B494" s="14" t="s">
        <v>2083</v>
      </c>
      <c r="C494" s="14"/>
      <c r="D494" s="14" t="s">
        <v>8</v>
      </c>
      <c r="E494" s="14" t="s">
        <v>2013</v>
      </c>
      <c r="F494" s="14"/>
      <c r="G494" s="14" t="s">
        <v>63</v>
      </c>
      <c r="H494" s="14" t="s">
        <v>1278</v>
      </c>
      <c r="I494" s="14" t="s">
        <v>1256</v>
      </c>
      <c r="J494" s="14"/>
      <c r="K494" s="14"/>
      <c r="L494" s="14"/>
      <c r="M494" s="14"/>
      <c r="N494" s="14"/>
      <c r="O494" s="14" t="s">
        <v>1279</v>
      </c>
      <c r="P494" s="14"/>
    </row>
    <row r="495" customFormat="false" ht="15" hidden="false" customHeight="false" outlineLevel="0" collapsed="false">
      <c r="A495" s="14" t="s">
        <v>2084</v>
      </c>
      <c r="B495" s="14" t="s">
        <v>2085</v>
      </c>
      <c r="C495" s="14"/>
      <c r="D495" s="14" t="s">
        <v>8</v>
      </c>
      <c r="E495" s="14" t="s">
        <v>2010</v>
      </c>
      <c r="F495" s="14"/>
      <c r="G495" s="14"/>
      <c r="H495" s="14" t="s">
        <v>1278</v>
      </c>
      <c r="I495" s="14" t="s">
        <v>1256</v>
      </c>
      <c r="J495" s="14"/>
      <c r="K495" s="14"/>
      <c r="L495" s="14"/>
      <c r="M495" s="14"/>
      <c r="N495" s="14"/>
      <c r="O495" s="14" t="s">
        <v>1279</v>
      </c>
      <c r="P495" s="14"/>
    </row>
    <row r="496" customFormat="false" ht="22.35" hidden="false" customHeight="false" outlineLevel="0" collapsed="false">
      <c r="A496" s="14" t="s">
        <v>2086</v>
      </c>
      <c r="B496" s="14" t="s">
        <v>2087</v>
      </c>
      <c r="C496" s="14"/>
      <c r="D496" s="14" t="s">
        <v>8</v>
      </c>
      <c r="E496" s="14" t="s">
        <v>2013</v>
      </c>
      <c r="F496" s="14"/>
      <c r="G496" s="14" t="s">
        <v>63</v>
      </c>
      <c r="H496" s="14" t="s">
        <v>1278</v>
      </c>
      <c r="I496" s="14" t="s">
        <v>1256</v>
      </c>
      <c r="J496" s="14"/>
      <c r="K496" s="14"/>
      <c r="L496" s="14"/>
      <c r="M496" s="14"/>
      <c r="N496" s="14"/>
      <c r="O496" s="14" t="s">
        <v>1279</v>
      </c>
      <c r="P496" s="14"/>
    </row>
    <row r="497" customFormat="false" ht="22.35" hidden="false" customHeight="false" outlineLevel="0" collapsed="false">
      <c r="A497" s="14" t="s">
        <v>2088</v>
      </c>
      <c r="B497" s="14" t="s">
        <v>2089</v>
      </c>
      <c r="C497" s="14"/>
      <c r="D497" s="14" t="s">
        <v>8</v>
      </c>
      <c r="E497" s="14" t="s">
        <v>2013</v>
      </c>
      <c r="F497" s="14"/>
      <c r="G497" s="14" t="s">
        <v>215</v>
      </c>
      <c r="H497" s="14" t="s">
        <v>1278</v>
      </c>
      <c r="I497" s="14" t="s">
        <v>1256</v>
      </c>
      <c r="J497" s="14"/>
      <c r="K497" s="14"/>
      <c r="L497" s="14"/>
      <c r="M497" s="14"/>
      <c r="N497" s="14"/>
      <c r="O497" s="14" t="s">
        <v>1279</v>
      </c>
      <c r="P497" s="14"/>
    </row>
    <row r="498" customFormat="false" ht="15" hidden="false" customHeight="false" outlineLevel="0" collapsed="false">
      <c r="A498" s="14" t="s">
        <v>2090</v>
      </c>
      <c r="B498" s="14" t="s">
        <v>2091</v>
      </c>
      <c r="C498" s="14"/>
      <c r="D498" s="14" t="s">
        <v>8</v>
      </c>
      <c r="E498" s="14" t="s">
        <v>2054</v>
      </c>
      <c r="F498" s="14"/>
      <c r="G498" s="14" t="s">
        <v>77</v>
      </c>
      <c r="H498" s="14" t="s">
        <v>1278</v>
      </c>
      <c r="I498" s="14" t="s">
        <v>1107</v>
      </c>
      <c r="J498" s="14"/>
      <c r="K498" s="14"/>
      <c r="L498" s="14"/>
      <c r="M498" s="14"/>
      <c r="N498" s="14"/>
      <c r="O498" s="14" t="s">
        <v>1279</v>
      </c>
      <c r="P498" s="14"/>
    </row>
    <row r="499" customFormat="false" ht="15" hidden="false" customHeight="false" outlineLevel="0" collapsed="false">
      <c r="A499" s="14" t="s">
        <v>2092</v>
      </c>
      <c r="B499" s="14" t="s">
        <v>2093</v>
      </c>
      <c r="C499" s="14"/>
      <c r="D499" s="14" t="s">
        <v>8</v>
      </c>
      <c r="E499" s="14" t="s">
        <v>2054</v>
      </c>
      <c r="F499" s="14"/>
      <c r="G499" s="14"/>
      <c r="H499" s="14" t="s">
        <v>1278</v>
      </c>
      <c r="I499" s="14" t="s">
        <v>1107</v>
      </c>
      <c r="J499" s="14"/>
      <c r="K499" s="14"/>
      <c r="L499" s="14"/>
      <c r="M499" s="14"/>
      <c r="N499" s="14"/>
      <c r="O499" s="14" t="s">
        <v>1279</v>
      </c>
      <c r="P499" s="14"/>
    </row>
    <row r="500" customFormat="false" ht="15" hidden="false" customHeight="false" outlineLevel="0" collapsed="false">
      <c r="A500" s="14" t="s">
        <v>2094</v>
      </c>
      <c r="B500" s="14" t="s">
        <v>2095</v>
      </c>
      <c r="C500" s="14"/>
      <c r="D500" s="14" t="s">
        <v>8</v>
      </c>
      <c r="E500" s="14" t="s">
        <v>2010</v>
      </c>
      <c r="F500" s="14"/>
      <c r="G500" s="14"/>
      <c r="H500" s="14" t="s">
        <v>1278</v>
      </c>
      <c r="I500" s="14" t="s">
        <v>1256</v>
      </c>
      <c r="J500" s="14"/>
      <c r="K500" s="14"/>
      <c r="L500" s="14"/>
      <c r="M500" s="14"/>
      <c r="N500" s="14"/>
      <c r="O500" s="14" t="s">
        <v>1279</v>
      </c>
      <c r="P500" s="14"/>
    </row>
    <row r="501" customFormat="false" ht="15" hidden="false" customHeight="false" outlineLevel="0" collapsed="false">
      <c r="A501" s="14" t="s">
        <v>2096</v>
      </c>
      <c r="B501" s="14" t="s">
        <v>2097</v>
      </c>
      <c r="C501" s="14"/>
      <c r="D501" s="14" t="s">
        <v>8</v>
      </c>
      <c r="E501" s="14" t="s">
        <v>2054</v>
      </c>
      <c r="F501" s="14"/>
      <c r="G501" s="14" t="s">
        <v>77</v>
      </c>
      <c r="H501" s="14" t="s">
        <v>1278</v>
      </c>
      <c r="I501" s="14" t="s">
        <v>1291</v>
      </c>
      <c r="J501" s="14"/>
      <c r="K501" s="14"/>
      <c r="L501" s="14"/>
      <c r="M501" s="14"/>
      <c r="N501" s="14"/>
      <c r="O501" s="14" t="s">
        <v>1279</v>
      </c>
      <c r="P501" s="14"/>
    </row>
    <row r="502" customFormat="false" ht="15" hidden="false" customHeight="false" outlineLevel="0" collapsed="false">
      <c r="A502" s="14" t="s">
        <v>2098</v>
      </c>
      <c r="B502" s="14" t="s">
        <v>2099</v>
      </c>
      <c r="C502" s="14"/>
      <c r="D502" s="14" t="s">
        <v>8</v>
      </c>
      <c r="E502" s="14" t="s">
        <v>2054</v>
      </c>
      <c r="F502" s="14"/>
      <c r="G502" s="14" t="s">
        <v>77</v>
      </c>
      <c r="H502" s="14" t="s">
        <v>1278</v>
      </c>
      <c r="I502" s="14" t="s">
        <v>1107</v>
      </c>
      <c r="J502" s="14"/>
      <c r="K502" s="14"/>
      <c r="L502" s="14"/>
      <c r="M502" s="14"/>
      <c r="N502" s="14"/>
      <c r="O502" s="14" t="s">
        <v>1279</v>
      </c>
      <c r="P502" s="14"/>
    </row>
    <row r="503" customFormat="false" ht="22.35" hidden="false" customHeight="false" outlineLevel="0" collapsed="false">
      <c r="A503" s="14" t="s">
        <v>2100</v>
      </c>
      <c r="B503" s="14" t="s">
        <v>2101</v>
      </c>
      <c r="C503" s="14"/>
      <c r="D503" s="14" t="s">
        <v>8</v>
      </c>
      <c r="E503" s="14" t="s">
        <v>2013</v>
      </c>
      <c r="F503" s="14"/>
      <c r="G503" s="14" t="s">
        <v>63</v>
      </c>
      <c r="H503" s="14" t="s">
        <v>1278</v>
      </c>
      <c r="I503" s="14" t="s">
        <v>1256</v>
      </c>
      <c r="J503" s="14"/>
      <c r="K503" s="14"/>
      <c r="L503" s="14"/>
      <c r="M503" s="14"/>
      <c r="N503" s="14"/>
      <c r="O503" s="14" t="s">
        <v>1279</v>
      </c>
      <c r="P503" s="14"/>
    </row>
    <row r="504" customFormat="false" ht="53.7" hidden="false" customHeight="false" outlineLevel="0" collapsed="false">
      <c r="A504" s="14" t="s">
        <v>2102</v>
      </c>
      <c r="B504" s="14" t="s">
        <v>2103</v>
      </c>
      <c r="C504" s="14"/>
      <c r="D504" s="14" t="s">
        <v>8</v>
      </c>
      <c r="E504" s="14" t="s">
        <v>2010</v>
      </c>
      <c r="F504" s="14"/>
      <c r="G504" s="14" t="s">
        <v>2104</v>
      </c>
      <c r="H504" s="14" t="s">
        <v>1278</v>
      </c>
      <c r="I504" s="14" t="s">
        <v>1291</v>
      </c>
      <c r="J504" s="14"/>
      <c r="K504" s="14"/>
      <c r="L504" s="14"/>
      <c r="M504" s="14"/>
      <c r="N504" s="14"/>
      <c r="O504" s="14" t="s">
        <v>1279</v>
      </c>
      <c r="P504" s="14"/>
    </row>
    <row r="505" customFormat="false" ht="15" hidden="false" customHeight="false" outlineLevel="0" collapsed="false">
      <c r="A505" s="14" t="s">
        <v>2105</v>
      </c>
      <c r="B505" s="14" t="s">
        <v>2106</v>
      </c>
      <c r="C505" s="14"/>
      <c r="D505" s="14" t="s">
        <v>8</v>
      </c>
      <c r="E505" s="14" t="s">
        <v>2010</v>
      </c>
      <c r="F505" s="14"/>
      <c r="G505" s="14"/>
      <c r="H505" s="14" t="s">
        <v>1278</v>
      </c>
      <c r="I505" s="14" t="s">
        <v>1256</v>
      </c>
      <c r="J505" s="14"/>
      <c r="K505" s="14"/>
      <c r="L505" s="14"/>
      <c r="M505" s="14"/>
      <c r="N505" s="14"/>
      <c r="O505" s="14" t="s">
        <v>1279</v>
      </c>
      <c r="P505" s="14"/>
    </row>
    <row r="506" customFormat="false" ht="15" hidden="false" customHeight="false" outlineLevel="0" collapsed="false">
      <c r="A506" s="14" t="s">
        <v>2107</v>
      </c>
      <c r="B506" s="14" t="s">
        <v>2108</v>
      </c>
      <c r="C506" s="14"/>
      <c r="D506" s="14" t="s">
        <v>8</v>
      </c>
      <c r="E506" s="14" t="s">
        <v>2010</v>
      </c>
      <c r="F506" s="14"/>
      <c r="G506" s="14"/>
      <c r="H506" s="14" t="s">
        <v>1278</v>
      </c>
      <c r="I506" s="14" t="s">
        <v>1256</v>
      </c>
      <c r="J506" s="14"/>
      <c r="K506" s="14"/>
      <c r="L506" s="14"/>
      <c r="M506" s="14"/>
      <c r="N506" s="14"/>
      <c r="O506" s="14" t="s">
        <v>1279</v>
      </c>
      <c r="P506" s="14"/>
    </row>
    <row r="507" customFormat="false" ht="15" hidden="false" customHeight="false" outlineLevel="0" collapsed="false">
      <c r="A507" s="14" t="s">
        <v>2109</v>
      </c>
      <c r="B507" s="14" t="s">
        <v>2110</v>
      </c>
      <c r="C507" s="14"/>
      <c r="D507" s="14" t="s">
        <v>8</v>
      </c>
      <c r="E507" s="14" t="s">
        <v>2010</v>
      </c>
      <c r="F507" s="14"/>
      <c r="G507" s="14"/>
      <c r="H507" s="14" t="s">
        <v>1278</v>
      </c>
      <c r="I507" s="14" t="s">
        <v>1256</v>
      </c>
      <c r="J507" s="14"/>
      <c r="K507" s="14"/>
      <c r="L507" s="14"/>
      <c r="M507" s="14"/>
      <c r="N507" s="14"/>
      <c r="O507" s="14" t="s">
        <v>1279</v>
      </c>
      <c r="P507" s="14"/>
    </row>
    <row r="508" customFormat="false" ht="64.15" hidden="false" customHeight="false" outlineLevel="0" collapsed="false">
      <c r="A508" s="14" t="s">
        <v>2111</v>
      </c>
      <c r="B508" s="14" t="s">
        <v>2112</v>
      </c>
      <c r="C508" s="14"/>
      <c r="D508" s="14" t="s">
        <v>8</v>
      </c>
      <c r="E508" s="14" t="s">
        <v>2010</v>
      </c>
      <c r="F508" s="14"/>
      <c r="G508" s="14" t="s">
        <v>2113</v>
      </c>
      <c r="H508" s="14" t="s">
        <v>1278</v>
      </c>
      <c r="I508" s="14" t="s">
        <v>2026</v>
      </c>
      <c r="J508" s="14"/>
      <c r="K508" s="14"/>
      <c r="L508" s="14"/>
      <c r="M508" s="14"/>
      <c r="N508" s="14"/>
      <c r="O508" s="14" t="s">
        <v>1279</v>
      </c>
      <c r="P508" s="14"/>
    </row>
    <row r="509" customFormat="false" ht="15" hidden="false" customHeight="false" outlineLevel="0" collapsed="false">
      <c r="A509" s="14" t="s">
        <v>2114</v>
      </c>
      <c r="B509" s="14" t="s">
        <v>2115</v>
      </c>
      <c r="C509" s="14"/>
      <c r="D509" s="14" t="s">
        <v>8</v>
      </c>
      <c r="E509" s="14" t="s">
        <v>2010</v>
      </c>
      <c r="F509" s="14"/>
      <c r="G509" s="14"/>
      <c r="H509" s="14" t="s">
        <v>1278</v>
      </c>
      <c r="I509" s="14" t="s">
        <v>1256</v>
      </c>
      <c r="J509" s="14"/>
      <c r="K509" s="14"/>
      <c r="L509" s="14"/>
      <c r="M509" s="14"/>
      <c r="N509" s="14"/>
      <c r="O509" s="14" t="s">
        <v>1279</v>
      </c>
      <c r="P509" s="14"/>
    </row>
    <row r="510" customFormat="false" ht="15" hidden="false" customHeight="false" outlineLevel="0" collapsed="false">
      <c r="A510" s="14" t="s">
        <v>2116</v>
      </c>
      <c r="B510" s="14" t="s">
        <v>2117</v>
      </c>
      <c r="C510" s="14"/>
      <c r="D510" s="14" t="s">
        <v>8</v>
      </c>
      <c r="E510" s="14" t="s">
        <v>2010</v>
      </c>
      <c r="F510" s="14"/>
      <c r="G510" s="14"/>
      <c r="H510" s="14" t="s">
        <v>1278</v>
      </c>
      <c r="I510" s="14" t="s">
        <v>1256</v>
      </c>
      <c r="J510" s="14"/>
      <c r="K510" s="14"/>
      <c r="L510" s="14"/>
      <c r="M510" s="14"/>
      <c r="N510" s="14"/>
      <c r="O510" s="14" t="s">
        <v>1279</v>
      </c>
      <c r="P510" s="14"/>
    </row>
    <row r="511" customFormat="false" ht="22.35" hidden="false" customHeight="false" outlineLevel="0" collapsed="false">
      <c r="A511" s="14" t="s">
        <v>2118</v>
      </c>
      <c r="B511" s="14" t="s">
        <v>2119</v>
      </c>
      <c r="C511" s="14"/>
      <c r="D511" s="14" t="s">
        <v>8</v>
      </c>
      <c r="E511" s="14" t="s">
        <v>2013</v>
      </c>
      <c r="F511" s="14"/>
      <c r="G511" s="14" t="s">
        <v>215</v>
      </c>
      <c r="H511" s="14" t="s">
        <v>1278</v>
      </c>
      <c r="I511" s="14" t="s">
        <v>1256</v>
      </c>
      <c r="J511" s="14"/>
      <c r="K511" s="14"/>
      <c r="L511" s="14"/>
      <c r="M511" s="14"/>
      <c r="N511" s="14"/>
      <c r="O511" s="14" t="s">
        <v>1279</v>
      </c>
      <c r="P511" s="14"/>
    </row>
    <row r="512" customFormat="false" ht="15" hidden="false" customHeight="false" outlineLevel="0" collapsed="false">
      <c r="A512" s="14" t="s">
        <v>2120</v>
      </c>
      <c r="B512" s="14" t="s">
        <v>2121</v>
      </c>
      <c r="C512" s="14"/>
      <c r="D512" s="14" t="s">
        <v>8</v>
      </c>
      <c r="E512" s="14" t="s">
        <v>2010</v>
      </c>
      <c r="F512" s="14"/>
      <c r="G512" s="14"/>
      <c r="H512" s="14" t="s">
        <v>1278</v>
      </c>
      <c r="I512" s="14" t="s">
        <v>1256</v>
      </c>
      <c r="J512" s="14"/>
      <c r="K512" s="14"/>
      <c r="L512" s="14"/>
      <c r="M512" s="14"/>
      <c r="N512" s="14"/>
      <c r="O512" s="14" t="s">
        <v>1279</v>
      </c>
      <c r="P512" s="14"/>
    </row>
    <row r="513" customFormat="false" ht="22.35" hidden="false" customHeight="false" outlineLevel="0" collapsed="false">
      <c r="A513" s="14" t="s">
        <v>2122</v>
      </c>
      <c r="B513" s="14" t="s">
        <v>2123</v>
      </c>
      <c r="C513" s="14"/>
      <c r="D513" s="14" t="s">
        <v>8</v>
      </c>
      <c r="E513" s="14" t="s">
        <v>2013</v>
      </c>
      <c r="F513" s="14"/>
      <c r="G513" s="14" t="s">
        <v>63</v>
      </c>
      <c r="H513" s="14" t="s">
        <v>1278</v>
      </c>
      <c r="I513" s="14" t="s">
        <v>1256</v>
      </c>
      <c r="J513" s="14"/>
      <c r="K513" s="14"/>
      <c r="L513" s="14"/>
      <c r="M513" s="14"/>
      <c r="N513" s="14"/>
      <c r="O513" s="14" t="s">
        <v>1279</v>
      </c>
      <c r="P513" s="14"/>
    </row>
    <row r="514" customFormat="false" ht="22.35" hidden="false" customHeight="false" outlineLevel="0" collapsed="false">
      <c r="A514" s="14" t="s">
        <v>2124</v>
      </c>
      <c r="B514" s="14" t="s">
        <v>2125</v>
      </c>
      <c r="C514" s="14"/>
      <c r="D514" s="14" t="s">
        <v>8</v>
      </c>
      <c r="E514" s="14" t="s">
        <v>2013</v>
      </c>
      <c r="F514" s="14"/>
      <c r="G514" s="14" t="s">
        <v>63</v>
      </c>
      <c r="H514" s="14" t="s">
        <v>1278</v>
      </c>
      <c r="I514" s="14" t="s">
        <v>1256</v>
      </c>
      <c r="J514" s="14"/>
      <c r="K514" s="14"/>
      <c r="L514" s="14"/>
      <c r="M514" s="14"/>
      <c r="N514" s="14"/>
      <c r="O514" s="14" t="s">
        <v>1279</v>
      </c>
      <c r="P514" s="14"/>
    </row>
    <row r="515" customFormat="false" ht="15" hidden="false" customHeight="false" outlineLevel="0" collapsed="false">
      <c r="A515" s="14" t="s">
        <v>2126</v>
      </c>
      <c r="B515" s="14" t="s">
        <v>2127</v>
      </c>
      <c r="C515" s="14"/>
      <c r="D515" s="14" t="s">
        <v>8</v>
      </c>
      <c r="E515" s="14" t="s">
        <v>2054</v>
      </c>
      <c r="F515" s="14"/>
      <c r="G515" s="14" t="s">
        <v>77</v>
      </c>
      <c r="H515" s="14" t="s">
        <v>1278</v>
      </c>
      <c r="I515" s="14" t="s">
        <v>1291</v>
      </c>
      <c r="J515" s="14"/>
      <c r="K515" s="14"/>
      <c r="L515" s="14"/>
      <c r="M515" s="14"/>
      <c r="N515" s="14"/>
      <c r="O515" s="14" t="s">
        <v>1279</v>
      </c>
      <c r="P515" s="14"/>
    </row>
    <row r="516" customFormat="false" ht="15" hidden="false" customHeight="false" outlineLevel="0" collapsed="false">
      <c r="A516" s="14" t="s">
        <v>2128</v>
      </c>
      <c r="B516" s="14" t="s">
        <v>2129</v>
      </c>
      <c r="C516" s="14"/>
      <c r="D516" s="14" t="s">
        <v>8</v>
      </c>
      <c r="E516" s="14" t="s">
        <v>2054</v>
      </c>
      <c r="F516" s="14"/>
      <c r="G516" s="14" t="s">
        <v>77</v>
      </c>
      <c r="H516" s="14" t="s">
        <v>1278</v>
      </c>
      <c r="I516" s="14" t="s">
        <v>1291</v>
      </c>
      <c r="J516" s="14"/>
      <c r="K516" s="14"/>
      <c r="L516" s="14"/>
      <c r="M516" s="14"/>
      <c r="N516" s="14"/>
      <c r="O516" s="14" t="s">
        <v>1279</v>
      </c>
      <c r="P516" s="14"/>
    </row>
    <row r="517" customFormat="false" ht="15" hidden="false" customHeight="false" outlineLevel="0" collapsed="false">
      <c r="A517" s="14" t="s">
        <v>2130</v>
      </c>
      <c r="B517" s="14" t="s">
        <v>2131</v>
      </c>
      <c r="C517" s="14"/>
      <c r="D517" s="14" t="s">
        <v>8</v>
      </c>
      <c r="E517" s="14" t="s">
        <v>2054</v>
      </c>
      <c r="F517" s="14"/>
      <c r="G517" s="14"/>
      <c r="H517" s="14" t="s">
        <v>1278</v>
      </c>
      <c r="I517" s="14" t="s">
        <v>1291</v>
      </c>
      <c r="J517" s="14"/>
      <c r="K517" s="14"/>
      <c r="L517" s="14"/>
      <c r="M517" s="14"/>
      <c r="N517" s="14"/>
      <c r="O517" s="14" t="s">
        <v>1279</v>
      </c>
      <c r="P517" s="14"/>
    </row>
    <row r="518" customFormat="false" ht="15" hidden="false" customHeight="false" outlineLevel="0" collapsed="false">
      <c r="A518" s="14" t="s">
        <v>2132</v>
      </c>
      <c r="B518" s="14" t="s">
        <v>2133</v>
      </c>
      <c r="C518" s="14"/>
      <c r="D518" s="14" t="s">
        <v>8</v>
      </c>
      <c r="E518" s="14" t="s">
        <v>2054</v>
      </c>
      <c r="F518" s="14"/>
      <c r="G518" s="14" t="s">
        <v>77</v>
      </c>
      <c r="H518" s="14" t="s">
        <v>1278</v>
      </c>
      <c r="I518" s="14" t="s">
        <v>1291</v>
      </c>
      <c r="J518" s="14"/>
      <c r="K518" s="14"/>
      <c r="L518" s="14"/>
      <c r="M518" s="14"/>
      <c r="N518" s="14"/>
      <c r="O518" s="14" t="s">
        <v>1279</v>
      </c>
      <c r="P518" s="14"/>
    </row>
    <row r="519" customFormat="false" ht="15" hidden="false" customHeight="false" outlineLevel="0" collapsed="false">
      <c r="A519" s="14" t="s">
        <v>2134</v>
      </c>
      <c r="B519" s="14" t="s">
        <v>2135</v>
      </c>
      <c r="C519" s="14"/>
      <c r="D519" s="14" t="s">
        <v>8</v>
      </c>
      <c r="E519" s="14" t="s">
        <v>2054</v>
      </c>
      <c r="F519" s="14"/>
      <c r="G519" s="14" t="s">
        <v>77</v>
      </c>
      <c r="H519" s="14" t="s">
        <v>1278</v>
      </c>
      <c r="I519" s="14" t="s">
        <v>1291</v>
      </c>
      <c r="J519" s="14"/>
      <c r="K519" s="14"/>
      <c r="L519" s="14"/>
      <c r="M519" s="14"/>
      <c r="N519" s="14"/>
      <c r="O519" s="14" t="s">
        <v>1279</v>
      </c>
      <c r="P519" s="14"/>
    </row>
    <row r="520" customFormat="false" ht="15" hidden="false" customHeight="false" outlineLevel="0" collapsed="false">
      <c r="A520" s="14" t="s">
        <v>2136</v>
      </c>
      <c r="B520" s="14" t="s">
        <v>2137</v>
      </c>
      <c r="C520" s="14"/>
      <c r="D520" s="14" t="s">
        <v>8</v>
      </c>
      <c r="E520" s="14" t="s">
        <v>2010</v>
      </c>
      <c r="F520" s="14"/>
      <c r="G520" s="14"/>
      <c r="H520" s="14" t="s">
        <v>1278</v>
      </c>
      <c r="I520" s="14" t="s">
        <v>1256</v>
      </c>
      <c r="J520" s="14"/>
      <c r="K520" s="14"/>
      <c r="L520" s="14"/>
      <c r="M520" s="14"/>
      <c r="N520" s="14"/>
      <c r="O520" s="14" t="s">
        <v>1279</v>
      </c>
      <c r="P520" s="14"/>
    </row>
    <row r="521" customFormat="false" ht="22.35" hidden="false" customHeight="false" outlineLevel="0" collapsed="false">
      <c r="A521" s="14" t="s">
        <v>2138</v>
      </c>
      <c r="B521" s="14" t="s">
        <v>2139</v>
      </c>
      <c r="C521" s="14"/>
      <c r="D521" s="14" t="s">
        <v>8</v>
      </c>
      <c r="E521" s="14" t="s">
        <v>2013</v>
      </c>
      <c r="F521" s="14"/>
      <c r="G521" s="14" t="s">
        <v>63</v>
      </c>
      <c r="H521" s="14" t="s">
        <v>1278</v>
      </c>
      <c r="I521" s="14" t="s">
        <v>1256</v>
      </c>
      <c r="J521" s="14"/>
      <c r="K521" s="14"/>
      <c r="L521" s="14"/>
      <c r="M521" s="14"/>
      <c r="N521" s="14"/>
      <c r="O521" s="14" t="s">
        <v>1279</v>
      </c>
      <c r="P521" s="14"/>
    </row>
    <row r="522" customFormat="false" ht="22.35" hidden="false" customHeight="false" outlineLevel="0" collapsed="false">
      <c r="A522" s="14" t="s">
        <v>2140</v>
      </c>
      <c r="B522" s="14" t="s">
        <v>2141</v>
      </c>
      <c r="C522" s="14"/>
      <c r="D522" s="14" t="s">
        <v>8</v>
      </c>
      <c r="E522" s="14" t="s">
        <v>2013</v>
      </c>
      <c r="F522" s="14"/>
      <c r="G522" s="14" t="s">
        <v>2142</v>
      </c>
      <c r="H522" s="14" t="s">
        <v>1278</v>
      </c>
      <c r="I522" s="14" t="s">
        <v>1256</v>
      </c>
      <c r="J522" s="14"/>
      <c r="K522" s="14"/>
      <c r="L522" s="14"/>
      <c r="M522" s="14"/>
      <c r="N522" s="14"/>
      <c r="O522" s="14" t="s">
        <v>1279</v>
      </c>
      <c r="P522" s="14"/>
    </row>
    <row r="523" customFormat="false" ht="53.7" hidden="false" customHeight="false" outlineLevel="0" collapsed="false">
      <c r="A523" s="14" t="s">
        <v>2143</v>
      </c>
      <c r="B523" s="14" t="s">
        <v>2144</v>
      </c>
      <c r="C523" s="14"/>
      <c r="D523" s="14" t="s">
        <v>8</v>
      </c>
      <c r="E523" s="14" t="s">
        <v>2013</v>
      </c>
      <c r="F523" s="14"/>
      <c r="G523" s="14" t="s">
        <v>2145</v>
      </c>
      <c r="H523" s="14" t="s">
        <v>1278</v>
      </c>
      <c r="I523" s="14" t="s">
        <v>2026</v>
      </c>
      <c r="J523" s="14"/>
      <c r="K523" s="14"/>
      <c r="L523" s="14"/>
      <c r="M523" s="14"/>
      <c r="N523" s="14"/>
      <c r="O523" s="14" t="s">
        <v>1279</v>
      </c>
      <c r="P523" s="14"/>
    </row>
    <row r="524" customFormat="false" ht="22.35" hidden="false" customHeight="false" outlineLevel="0" collapsed="false">
      <c r="A524" s="14" t="s">
        <v>2146</v>
      </c>
      <c r="B524" s="14" t="s">
        <v>2147</v>
      </c>
      <c r="C524" s="14"/>
      <c r="D524" s="14" t="s">
        <v>8</v>
      </c>
      <c r="E524" s="14" t="s">
        <v>2013</v>
      </c>
      <c r="F524" s="14"/>
      <c r="G524" s="14" t="s">
        <v>63</v>
      </c>
      <c r="H524" s="14" t="s">
        <v>1278</v>
      </c>
      <c r="I524" s="14" t="s">
        <v>1256</v>
      </c>
      <c r="J524" s="14"/>
      <c r="K524" s="14"/>
      <c r="L524" s="14"/>
      <c r="M524" s="14"/>
      <c r="N524" s="14"/>
      <c r="O524" s="14" t="s">
        <v>1279</v>
      </c>
      <c r="P524" s="14"/>
    </row>
    <row r="525" customFormat="false" ht="22.35" hidden="false" customHeight="false" outlineLevel="0" collapsed="false">
      <c r="A525" s="14" t="s">
        <v>2148</v>
      </c>
      <c r="B525" s="14" t="s">
        <v>2149</v>
      </c>
      <c r="C525" s="14"/>
      <c r="D525" s="14" t="s">
        <v>8</v>
      </c>
      <c r="E525" s="14" t="s">
        <v>2013</v>
      </c>
      <c r="F525" s="14"/>
      <c r="G525" s="14" t="s">
        <v>63</v>
      </c>
      <c r="H525" s="14" t="s">
        <v>1278</v>
      </c>
      <c r="I525" s="14" t="s">
        <v>1256</v>
      </c>
      <c r="J525" s="14"/>
      <c r="K525" s="14"/>
      <c r="L525" s="14"/>
      <c r="M525" s="14"/>
      <c r="N525" s="14"/>
      <c r="O525" s="14" t="s">
        <v>1279</v>
      </c>
      <c r="P525" s="14"/>
    </row>
    <row r="526" customFormat="false" ht="22.35" hidden="false" customHeight="false" outlineLevel="0" collapsed="false">
      <c r="A526" s="14" t="s">
        <v>2150</v>
      </c>
      <c r="B526" s="14" t="s">
        <v>2151</v>
      </c>
      <c r="C526" s="14"/>
      <c r="D526" s="14" t="s">
        <v>8</v>
      </c>
      <c r="E526" s="14" t="s">
        <v>2013</v>
      </c>
      <c r="F526" s="14"/>
      <c r="G526" s="14" t="s">
        <v>63</v>
      </c>
      <c r="H526" s="14" t="s">
        <v>1278</v>
      </c>
      <c r="I526" s="14" t="s">
        <v>1256</v>
      </c>
      <c r="J526" s="14"/>
      <c r="K526" s="14"/>
      <c r="L526" s="14"/>
      <c r="M526" s="14"/>
      <c r="N526" s="14"/>
      <c r="O526" s="14" t="s">
        <v>1279</v>
      </c>
      <c r="P526" s="14"/>
    </row>
    <row r="527" customFormat="false" ht="15" hidden="false" customHeight="false" outlineLevel="0" collapsed="false">
      <c r="A527" s="14" t="s">
        <v>2152</v>
      </c>
      <c r="B527" s="14" t="s">
        <v>2153</v>
      </c>
      <c r="C527" s="14"/>
      <c r="D527" s="14" t="s">
        <v>8</v>
      </c>
      <c r="E527" s="14" t="s">
        <v>2010</v>
      </c>
      <c r="F527" s="14"/>
      <c r="G527" s="14"/>
      <c r="H527" s="14" t="s">
        <v>1278</v>
      </c>
      <c r="I527" s="14" t="s">
        <v>1256</v>
      </c>
      <c r="J527" s="14"/>
      <c r="K527" s="14"/>
      <c r="L527" s="14"/>
      <c r="M527" s="14"/>
      <c r="N527" s="14"/>
      <c r="O527" s="14" t="s">
        <v>1279</v>
      </c>
      <c r="P527" s="14"/>
    </row>
    <row r="528" customFormat="false" ht="43.25" hidden="false" customHeight="false" outlineLevel="0" collapsed="false">
      <c r="A528" s="14" t="s">
        <v>2154</v>
      </c>
      <c r="B528" s="14" t="s">
        <v>2155</v>
      </c>
      <c r="C528" s="14"/>
      <c r="D528" s="14" t="s">
        <v>8</v>
      </c>
      <c r="E528" s="14" t="s">
        <v>2013</v>
      </c>
      <c r="F528" s="14"/>
      <c r="G528" s="14" t="s">
        <v>2156</v>
      </c>
      <c r="H528" s="14" t="s">
        <v>1278</v>
      </c>
      <c r="I528" s="14" t="s">
        <v>2026</v>
      </c>
      <c r="J528" s="14"/>
      <c r="K528" s="14"/>
      <c r="L528" s="14"/>
      <c r="M528" s="14"/>
      <c r="N528" s="14"/>
      <c r="O528" s="14" t="s">
        <v>1279</v>
      </c>
      <c r="P528" s="14"/>
    </row>
    <row r="529" customFormat="false" ht="85.05" hidden="false" customHeight="false" outlineLevel="0" collapsed="false">
      <c r="A529" s="14" t="s">
        <v>2157</v>
      </c>
      <c r="B529" s="14" t="s">
        <v>2158</v>
      </c>
      <c r="C529" s="14"/>
      <c r="D529" s="14" t="s">
        <v>8</v>
      </c>
      <c r="E529" s="14" t="s">
        <v>2010</v>
      </c>
      <c r="F529" s="14"/>
      <c r="G529" s="14" t="s">
        <v>2159</v>
      </c>
      <c r="H529" s="14" t="s">
        <v>1278</v>
      </c>
      <c r="I529" s="14" t="s">
        <v>2026</v>
      </c>
      <c r="J529" s="14"/>
      <c r="K529" s="14"/>
      <c r="L529" s="14"/>
      <c r="M529" s="14"/>
      <c r="N529" s="14"/>
      <c r="O529" s="14" t="s">
        <v>1279</v>
      </c>
      <c r="P529" s="14"/>
    </row>
    <row r="530" customFormat="false" ht="15" hidden="false" customHeight="false" outlineLevel="0" collapsed="false">
      <c r="A530" s="14" t="s">
        <v>2160</v>
      </c>
      <c r="B530" s="14" t="s">
        <v>2161</v>
      </c>
      <c r="C530" s="14"/>
      <c r="D530" s="14" t="s">
        <v>8</v>
      </c>
      <c r="E530" s="14" t="s">
        <v>2010</v>
      </c>
      <c r="F530" s="14"/>
      <c r="G530" s="14"/>
      <c r="H530" s="14" t="s">
        <v>1278</v>
      </c>
      <c r="I530" s="14" t="s">
        <v>1256</v>
      </c>
      <c r="J530" s="14"/>
      <c r="K530" s="14"/>
      <c r="L530" s="14"/>
      <c r="M530" s="14"/>
      <c r="N530" s="14"/>
      <c r="O530" s="14" t="s">
        <v>1279</v>
      </c>
      <c r="P530" s="14"/>
    </row>
    <row r="531" customFormat="false" ht="15" hidden="false" customHeight="false" outlineLevel="0" collapsed="false">
      <c r="A531" s="14" t="s">
        <v>2162</v>
      </c>
      <c r="B531" s="14" t="s">
        <v>2163</v>
      </c>
      <c r="C531" s="14"/>
      <c r="D531" s="14" t="s">
        <v>8</v>
      </c>
      <c r="E531" s="14" t="s">
        <v>2010</v>
      </c>
      <c r="F531" s="14"/>
      <c r="G531" s="14" t="s">
        <v>215</v>
      </c>
      <c r="H531" s="14" t="s">
        <v>1278</v>
      </c>
      <c r="I531" s="14" t="s">
        <v>1291</v>
      </c>
      <c r="J531" s="14"/>
      <c r="K531" s="14"/>
      <c r="L531" s="14"/>
      <c r="M531" s="14"/>
      <c r="N531" s="14"/>
      <c r="O531" s="14" t="s">
        <v>1279</v>
      </c>
      <c r="P531" s="14"/>
    </row>
    <row r="532" customFormat="false" ht="22.35" hidden="false" customHeight="false" outlineLevel="0" collapsed="false">
      <c r="A532" s="14" t="s">
        <v>2164</v>
      </c>
      <c r="B532" s="14" t="s">
        <v>2165</v>
      </c>
      <c r="C532" s="14"/>
      <c r="D532" s="14" t="s">
        <v>8</v>
      </c>
      <c r="E532" s="14" t="s">
        <v>2013</v>
      </c>
      <c r="F532" s="14"/>
      <c r="G532" s="14" t="s">
        <v>63</v>
      </c>
      <c r="H532" s="14" t="s">
        <v>1278</v>
      </c>
      <c r="I532" s="14" t="s">
        <v>1256</v>
      </c>
      <c r="J532" s="14"/>
      <c r="K532" s="14"/>
      <c r="L532" s="14"/>
      <c r="M532" s="14"/>
      <c r="N532" s="14"/>
      <c r="O532" s="14" t="s">
        <v>1279</v>
      </c>
      <c r="P532" s="14"/>
    </row>
    <row r="533" customFormat="false" ht="15" hidden="false" customHeight="false" outlineLevel="0" collapsed="false">
      <c r="A533" s="14" t="s">
        <v>2166</v>
      </c>
      <c r="B533" s="14" t="s">
        <v>2167</v>
      </c>
      <c r="C533" s="14"/>
      <c r="D533" s="14" t="s">
        <v>8</v>
      </c>
      <c r="E533" s="14" t="s">
        <v>2010</v>
      </c>
      <c r="F533" s="14"/>
      <c r="G533" s="14"/>
      <c r="H533" s="14" t="s">
        <v>1278</v>
      </c>
      <c r="I533" s="14" t="s">
        <v>1256</v>
      </c>
      <c r="J533" s="14"/>
      <c r="K533" s="14"/>
      <c r="L533" s="14"/>
      <c r="M533" s="14"/>
      <c r="N533" s="14"/>
      <c r="O533" s="14" t="s">
        <v>1279</v>
      </c>
      <c r="P533" s="14"/>
    </row>
    <row r="534" customFormat="false" ht="15" hidden="false" customHeight="false" outlineLevel="0" collapsed="false">
      <c r="A534" s="14" t="s">
        <v>2168</v>
      </c>
      <c r="B534" s="14" t="s">
        <v>2169</v>
      </c>
      <c r="C534" s="14"/>
      <c r="D534" s="14" t="s">
        <v>8</v>
      </c>
      <c r="E534" s="14" t="s">
        <v>2010</v>
      </c>
      <c r="F534" s="14"/>
      <c r="G534" s="14"/>
      <c r="H534" s="14" t="s">
        <v>1278</v>
      </c>
      <c r="I534" s="14" t="s">
        <v>1256</v>
      </c>
      <c r="J534" s="14"/>
      <c r="K534" s="14"/>
      <c r="L534" s="14"/>
      <c r="M534" s="14"/>
      <c r="N534" s="14"/>
      <c r="O534" s="14" t="s">
        <v>1279</v>
      </c>
      <c r="P534" s="14"/>
    </row>
    <row r="535" customFormat="false" ht="22.35" hidden="false" customHeight="false" outlineLevel="0" collapsed="false">
      <c r="A535" s="14" t="s">
        <v>2170</v>
      </c>
      <c r="B535" s="14" t="s">
        <v>2171</v>
      </c>
      <c r="C535" s="14"/>
      <c r="D535" s="14" t="s">
        <v>8</v>
      </c>
      <c r="E535" s="14" t="s">
        <v>2013</v>
      </c>
      <c r="F535" s="14"/>
      <c r="G535" s="14" t="s">
        <v>63</v>
      </c>
      <c r="H535" s="14" t="s">
        <v>1278</v>
      </c>
      <c r="I535" s="14" t="s">
        <v>1256</v>
      </c>
      <c r="J535" s="14"/>
      <c r="K535" s="14"/>
      <c r="L535" s="14"/>
      <c r="M535" s="14"/>
      <c r="N535" s="14"/>
      <c r="O535" s="14" t="s">
        <v>1279</v>
      </c>
      <c r="P535" s="14"/>
    </row>
    <row r="536" customFormat="false" ht="74.6" hidden="false" customHeight="false" outlineLevel="0" collapsed="false">
      <c r="A536" s="14" t="s">
        <v>2172</v>
      </c>
      <c r="B536" s="14" t="s">
        <v>2173</v>
      </c>
      <c r="C536" s="14"/>
      <c r="D536" s="14" t="s">
        <v>8</v>
      </c>
      <c r="E536" s="14" t="s">
        <v>2010</v>
      </c>
      <c r="F536" s="14"/>
      <c r="G536" s="14" t="s">
        <v>2174</v>
      </c>
      <c r="H536" s="14" t="s">
        <v>1278</v>
      </c>
      <c r="I536" s="14" t="s">
        <v>2026</v>
      </c>
      <c r="J536" s="14"/>
      <c r="K536" s="14"/>
      <c r="L536" s="14"/>
      <c r="M536" s="14"/>
      <c r="N536" s="14"/>
      <c r="O536" s="14" t="s">
        <v>1279</v>
      </c>
      <c r="P536" s="14"/>
    </row>
    <row r="537" customFormat="false" ht="15" hidden="false" customHeight="false" outlineLevel="0" collapsed="false">
      <c r="A537" s="14" t="s">
        <v>2175</v>
      </c>
      <c r="B537" s="14" t="s">
        <v>2176</v>
      </c>
      <c r="C537" s="14"/>
      <c r="D537" s="14" t="s">
        <v>8</v>
      </c>
      <c r="E537" s="14" t="s">
        <v>2010</v>
      </c>
      <c r="F537" s="14"/>
      <c r="G537" s="14"/>
      <c r="H537" s="14" t="s">
        <v>1278</v>
      </c>
      <c r="I537" s="14" t="s">
        <v>1256</v>
      </c>
      <c r="J537" s="14"/>
      <c r="K537" s="14"/>
      <c r="L537" s="14"/>
      <c r="M537" s="14"/>
      <c r="N537" s="14"/>
      <c r="O537" s="14" t="s">
        <v>1279</v>
      </c>
      <c r="P537" s="14"/>
    </row>
    <row r="538" customFormat="false" ht="15" hidden="false" customHeight="false" outlineLevel="0" collapsed="false">
      <c r="A538" s="14" t="s">
        <v>2177</v>
      </c>
      <c r="B538" s="14" t="s">
        <v>2178</v>
      </c>
      <c r="C538" s="14"/>
      <c r="D538" s="14" t="s">
        <v>8</v>
      </c>
      <c r="E538" s="14" t="s">
        <v>2010</v>
      </c>
      <c r="F538" s="14"/>
      <c r="G538" s="14"/>
      <c r="H538" s="14" t="s">
        <v>1278</v>
      </c>
      <c r="I538" s="14" t="s">
        <v>1256</v>
      </c>
      <c r="J538" s="14"/>
      <c r="K538" s="14"/>
      <c r="L538" s="14"/>
      <c r="M538" s="14"/>
      <c r="N538" s="14"/>
      <c r="O538" s="14" t="s">
        <v>1279</v>
      </c>
      <c r="P538" s="14"/>
    </row>
    <row r="539" customFormat="false" ht="22.35" hidden="false" customHeight="false" outlineLevel="0" collapsed="false">
      <c r="A539" s="14" t="s">
        <v>2179</v>
      </c>
      <c r="B539" s="14" t="s">
        <v>2180</v>
      </c>
      <c r="C539" s="14"/>
      <c r="D539" s="14" t="s">
        <v>8</v>
      </c>
      <c r="E539" s="14" t="s">
        <v>2013</v>
      </c>
      <c r="F539" s="14"/>
      <c r="G539" s="14" t="s">
        <v>63</v>
      </c>
      <c r="H539" s="14" t="s">
        <v>1278</v>
      </c>
      <c r="I539" s="14" t="s">
        <v>1256</v>
      </c>
      <c r="J539" s="14"/>
      <c r="K539" s="14"/>
      <c r="L539" s="14"/>
      <c r="M539" s="14"/>
      <c r="N539" s="14"/>
      <c r="O539" s="14" t="s">
        <v>1279</v>
      </c>
      <c r="P539" s="14"/>
    </row>
    <row r="540" customFormat="false" ht="85.05" hidden="false" customHeight="false" outlineLevel="0" collapsed="false">
      <c r="A540" s="14" t="s">
        <v>2181</v>
      </c>
      <c r="B540" s="14" t="s">
        <v>2182</v>
      </c>
      <c r="C540" s="14"/>
      <c r="D540" s="14" t="s">
        <v>8</v>
      </c>
      <c r="E540" s="14" t="s">
        <v>2013</v>
      </c>
      <c r="F540" s="14"/>
      <c r="G540" s="14" t="s">
        <v>2183</v>
      </c>
      <c r="H540" s="14" t="s">
        <v>1278</v>
      </c>
      <c r="I540" s="14" t="s">
        <v>2026</v>
      </c>
      <c r="J540" s="14"/>
      <c r="K540" s="14"/>
      <c r="L540" s="14"/>
      <c r="M540" s="14"/>
      <c r="N540" s="14"/>
      <c r="O540" s="14" t="s">
        <v>1279</v>
      </c>
      <c r="P540" s="14"/>
    </row>
    <row r="541" customFormat="false" ht="22.35" hidden="false" customHeight="false" outlineLevel="0" collapsed="false">
      <c r="A541" s="14" t="s">
        <v>2184</v>
      </c>
      <c r="B541" s="14" t="s">
        <v>2185</v>
      </c>
      <c r="C541" s="14"/>
      <c r="D541" s="14" t="s">
        <v>8</v>
      </c>
      <c r="E541" s="14" t="s">
        <v>2013</v>
      </c>
      <c r="F541" s="14"/>
      <c r="G541" s="14" t="s">
        <v>63</v>
      </c>
      <c r="H541" s="14" t="s">
        <v>1278</v>
      </c>
      <c r="I541" s="14" t="s">
        <v>1256</v>
      </c>
      <c r="J541" s="14"/>
      <c r="K541" s="14"/>
      <c r="L541" s="14"/>
      <c r="M541" s="14"/>
      <c r="N541" s="14"/>
      <c r="O541" s="14" t="s">
        <v>1279</v>
      </c>
      <c r="P541" s="14"/>
    </row>
    <row r="542" customFormat="false" ht="22.35" hidden="false" customHeight="false" outlineLevel="0" collapsed="false">
      <c r="A542" s="14" t="s">
        <v>2186</v>
      </c>
      <c r="B542" s="14" t="s">
        <v>2187</v>
      </c>
      <c r="C542" s="14"/>
      <c r="D542" s="14" t="s">
        <v>8</v>
      </c>
      <c r="E542" s="14" t="s">
        <v>2013</v>
      </c>
      <c r="F542" s="14"/>
      <c r="G542" s="14" t="s">
        <v>63</v>
      </c>
      <c r="H542" s="14" t="s">
        <v>1278</v>
      </c>
      <c r="I542" s="14" t="s">
        <v>1256</v>
      </c>
      <c r="J542" s="14"/>
      <c r="K542" s="14"/>
      <c r="L542" s="14"/>
      <c r="M542" s="14"/>
      <c r="N542" s="14"/>
      <c r="O542" s="14" t="s">
        <v>1279</v>
      </c>
      <c r="P542" s="14"/>
    </row>
    <row r="543" customFormat="false" ht="22.35" hidden="false" customHeight="false" outlineLevel="0" collapsed="false">
      <c r="A543" s="14" t="s">
        <v>2188</v>
      </c>
      <c r="B543" s="14" t="s">
        <v>2189</v>
      </c>
      <c r="C543" s="14"/>
      <c r="D543" s="14" t="s">
        <v>8</v>
      </c>
      <c r="E543" s="14" t="s">
        <v>2013</v>
      </c>
      <c r="F543" s="14"/>
      <c r="G543" s="14" t="s">
        <v>63</v>
      </c>
      <c r="H543" s="14" t="s">
        <v>1278</v>
      </c>
      <c r="I543" s="14" t="s">
        <v>1256</v>
      </c>
      <c r="J543" s="14"/>
      <c r="K543" s="14"/>
      <c r="L543" s="14"/>
      <c r="M543" s="14"/>
      <c r="N543" s="14"/>
      <c r="O543" s="14" t="s">
        <v>1279</v>
      </c>
      <c r="P543" s="14"/>
    </row>
    <row r="544" customFormat="false" ht="15" hidden="false" customHeight="false" outlineLevel="0" collapsed="false">
      <c r="A544" s="14" t="s">
        <v>2190</v>
      </c>
      <c r="B544" s="14" t="s">
        <v>2191</v>
      </c>
      <c r="C544" s="14"/>
      <c r="D544" s="14" t="s">
        <v>8</v>
      </c>
      <c r="E544" s="14" t="s">
        <v>2010</v>
      </c>
      <c r="F544" s="14"/>
      <c r="G544" s="14"/>
      <c r="H544" s="14" t="s">
        <v>1278</v>
      </c>
      <c r="I544" s="14" t="s">
        <v>1256</v>
      </c>
      <c r="J544" s="14"/>
      <c r="K544" s="14"/>
      <c r="L544" s="14"/>
      <c r="M544" s="14"/>
      <c r="N544" s="14"/>
      <c r="O544" s="14" t="s">
        <v>1279</v>
      </c>
      <c r="P544" s="14"/>
    </row>
    <row r="545" customFormat="false" ht="22.35" hidden="false" customHeight="false" outlineLevel="0" collapsed="false">
      <c r="A545" s="14" t="s">
        <v>2192</v>
      </c>
      <c r="B545" s="14" t="s">
        <v>2193</v>
      </c>
      <c r="C545" s="14"/>
      <c r="D545" s="14" t="s">
        <v>8</v>
      </c>
      <c r="E545" s="14" t="s">
        <v>2013</v>
      </c>
      <c r="F545" s="14"/>
      <c r="G545" s="14" t="s">
        <v>63</v>
      </c>
      <c r="H545" s="14" t="s">
        <v>1278</v>
      </c>
      <c r="I545" s="14" t="s">
        <v>1256</v>
      </c>
      <c r="J545" s="14"/>
      <c r="K545" s="14"/>
      <c r="L545" s="14"/>
      <c r="M545" s="14"/>
      <c r="N545" s="14"/>
      <c r="O545" s="14" t="s">
        <v>1279</v>
      </c>
      <c r="P545" s="14"/>
    </row>
    <row r="546" customFormat="false" ht="53.7" hidden="false" customHeight="false" outlineLevel="0" collapsed="false">
      <c r="A546" s="14" t="s">
        <v>2194</v>
      </c>
      <c r="B546" s="14" t="s">
        <v>2195</v>
      </c>
      <c r="C546" s="14"/>
      <c r="D546" s="14" t="s">
        <v>8</v>
      </c>
      <c r="E546" s="14" t="s">
        <v>2013</v>
      </c>
      <c r="F546" s="14"/>
      <c r="G546" s="14" t="s">
        <v>2196</v>
      </c>
      <c r="H546" s="14" t="s">
        <v>1278</v>
      </c>
      <c r="I546" s="14" t="s">
        <v>2026</v>
      </c>
      <c r="J546" s="14"/>
      <c r="K546" s="14"/>
      <c r="L546" s="14"/>
      <c r="M546" s="14"/>
      <c r="N546" s="14"/>
      <c r="O546" s="14" t="s">
        <v>1279</v>
      </c>
      <c r="P546" s="14"/>
    </row>
    <row r="547" customFormat="false" ht="15" hidden="false" customHeight="false" outlineLevel="0" collapsed="false">
      <c r="A547" s="14" t="s">
        <v>2197</v>
      </c>
      <c r="B547" s="14" t="s">
        <v>2198</v>
      </c>
      <c r="C547" s="14"/>
      <c r="D547" s="14" t="s">
        <v>8</v>
      </c>
      <c r="E547" s="14" t="s">
        <v>2010</v>
      </c>
      <c r="F547" s="14"/>
      <c r="G547" s="14"/>
      <c r="H547" s="14" t="s">
        <v>1278</v>
      </c>
      <c r="I547" s="14" t="s">
        <v>1256</v>
      </c>
      <c r="J547" s="14"/>
      <c r="K547" s="14"/>
      <c r="L547" s="14"/>
      <c r="M547" s="14"/>
      <c r="N547" s="14"/>
      <c r="O547" s="14" t="s">
        <v>1279</v>
      </c>
      <c r="P547" s="14"/>
    </row>
    <row r="548" customFormat="false" ht="53.7" hidden="false" customHeight="false" outlineLevel="0" collapsed="false">
      <c r="A548" s="14" t="s">
        <v>2199</v>
      </c>
      <c r="B548" s="14" t="s">
        <v>2200</v>
      </c>
      <c r="C548" s="14"/>
      <c r="D548" s="14" t="s">
        <v>8</v>
      </c>
      <c r="E548" s="14" t="s">
        <v>2013</v>
      </c>
      <c r="F548" s="14"/>
      <c r="G548" s="14" t="s">
        <v>2201</v>
      </c>
      <c r="H548" s="14" t="s">
        <v>1278</v>
      </c>
      <c r="I548" s="14" t="s">
        <v>2026</v>
      </c>
      <c r="J548" s="14"/>
      <c r="K548" s="14"/>
      <c r="L548" s="14"/>
      <c r="M548" s="14"/>
      <c r="N548" s="14"/>
      <c r="O548" s="14" t="s">
        <v>1279</v>
      </c>
      <c r="P548" s="14"/>
    </row>
    <row r="549" customFormat="false" ht="43.25" hidden="false" customHeight="false" outlineLevel="0" collapsed="false">
      <c r="A549" s="14" t="s">
        <v>2202</v>
      </c>
      <c r="B549" s="14" t="s">
        <v>2203</v>
      </c>
      <c r="C549" s="14"/>
      <c r="D549" s="14" t="s">
        <v>8</v>
      </c>
      <c r="E549" s="14" t="s">
        <v>2013</v>
      </c>
      <c r="F549" s="14"/>
      <c r="G549" s="14" t="s">
        <v>2204</v>
      </c>
      <c r="H549" s="14" t="s">
        <v>1278</v>
      </c>
      <c r="I549" s="14" t="s">
        <v>2026</v>
      </c>
      <c r="J549" s="14"/>
      <c r="K549" s="14"/>
      <c r="L549" s="14"/>
      <c r="M549" s="14"/>
      <c r="N549" s="14"/>
      <c r="O549" s="14" t="s">
        <v>1279</v>
      </c>
      <c r="P549" s="14"/>
    </row>
    <row r="550" customFormat="false" ht="95.5" hidden="false" customHeight="false" outlineLevel="0" collapsed="false">
      <c r="A550" s="14" t="s">
        <v>2205</v>
      </c>
      <c r="B550" s="14" t="s">
        <v>2206</v>
      </c>
      <c r="C550" s="14"/>
      <c r="D550" s="14" t="s">
        <v>8</v>
      </c>
      <c r="E550" s="14" t="s">
        <v>2013</v>
      </c>
      <c r="F550" s="14"/>
      <c r="G550" s="14" t="s">
        <v>2207</v>
      </c>
      <c r="H550" s="14" t="s">
        <v>1278</v>
      </c>
      <c r="I550" s="14" t="s">
        <v>2026</v>
      </c>
      <c r="J550" s="14"/>
      <c r="K550" s="14"/>
      <c r="L550" s="14"/>
      <c r="M550" s="14"/>
      <c r="N550" s="14"/>
      <c r="O550" s="14" t="s">
        <v>1279</v>
      </c>
      <c r="P550" s="14"/>
    </row>
    <row r="551" customFormat="false" ht="15" hidden="false" customHeight="false" outlineLevel="0" collapsed="false">
      <c r="A551" s="14" t="s">
        <v>2208</v>
      </c>
      <c r="B551" s="14" t="s">
        <v>2209</v>
      </c>
      <c r="C551" s="14"/>
      <c r="D551" s="14" t="s">
        <v>8</v>
      </c>
      <c r="E551" s="14" t="s">
        <v>2054</v>
      </c>
      <c r="F551" s="14"/>
      <c r="G551" s="14"/>
      <c r="H551" s="14" t="s">
        <v>1278</v>
      </c>
      <c r="I551" s="14" t="s">
        <v>1256</v>
      </c>
      <c r="J551" s="14"/>
      <c r="K551" s="14"/>
      <c r="L551" s="14"/>
      <c r="M551" s="14"/>
      <c r="N551" s="14"/>
      <c r="O551" s="14" t="s">
        <v>1279</v>
      </c>
      <c r="P551" s="14"/>
    </row>
    <row r="552" customFormat="false" ht="15" hidden="false" customHeight="false" outlineLevel="0" collapsed="false">
      <c r="A552" s="14" t="s">
        <v>2210</v>
      </c>
      <c r="B552" s="14" t="s">
        <v>2211</v>
      </c>
      <c r="C552" s="14"/>
      <c r="D552" s="14" t="s">
        <v>8</v>
      </c>
      <c r="E552" s="14" t="s">
        <v>2010</v>
      </c>
      <c r="F552" s="14"/>
      <c r="G552" s="14"/>
      <c r="H552" s="14" t="s">
        <v>1278</v>
      </c>
      <c r="I552" s="14" t="s">
        <v>1256</v>
      </c>
      <c r="J552" s="14"/>
      <c r="K552" s="14"/>
      <c r="L552" s="14"/>
      <c r="M552" s="14"/>
      <c r="N552" s="14"/>
      <c r="O552" s="14" t="s">
        <v>1279</v>
      </c>
      <c r="P552" s="14"/>
    </row>
    <row r="553" customFormat="false" ht="53.7" hidden="false" customHeight="false" outlineLevel="0" collapsed="false">
      <c r="A553" s="14" t="s">
        <v>2212</v>
      </c>
      <c r="B553" s="14" t="s">
        <v>2213</v>
      </c>
      <c r="C553" s="14"/>
      <c r="D553" s="14" t="s">
        <v>8</v>
      </c>
      <c r="E553" s="14" t="s">
        <v>2013</v>
      </c>
      <c r="F553" s="14"/>
      <c r="G553" s="14" t="s">
        <v>2214</v>
      </c>
      <c r="H553" s="14" t="s">
        <v>1278</v>
      </c>
      <c r="I553" s="14" t="s">
        <v>1256</v>
      </c>
      <c r="J553" s="14"/>
      <c r="K553" s="14"/>
      <c r="L553" s="14"/>
      <c r="M553" s="14"/>
      <c r="N553" s="14"/>
      <c r="O553" s="14" t="s">
        <v>1279</v>
      </c>
      <c r="P553" s="14"/>
    </row>
    <row r="554" customFormat="false" ht="22.35" hidden="false" customHeight="false" outlineLevel="0" collapsed="false">
      <c r="A554" s="14" t="s">
        <v>2215</v>
      </c>
      <c r="B554" s="14" t="s">
        <v>2216</v>
      </c>
      <c r="C554" s="14"/>
      <c r="D554" s="14" t="s">
        <v>8</v>
      </c>
      <c r="E554" s="14" t="s">
        <v>2013</v>
      </c>
      <c r="F554" s="14"/>
      <c r="G554" s="14" t="s">
        <v>63</v>
      </c>
      <c r="H554" s="14" t="s">
        <v>1278</v>
      </c>
      <c r="I554" s="14" t="s">
        <v>1256</v>
      </c>
      <c r="J554" s="14"/>
      <c r="K554" s="14"/>
      <c r="L554" s="14"/>
      <c r="M554" s="14"/>
      <c r="N554" s="14"/>
      <c r="O554" s="14" t="s">
        <v>1279</v>
      </c>
      <c r="P554" s="14"/>
    </row>
    <row r="555" customFormat="false" ht="22.35" hidden="false" customHeight="false" outlineLevel="0" collapsed="false">
      <c r="A555" s="14" t="s">
        <v>2217</v>
      </c>
      <c r="B555" s="14" t="s">
        <v>2218</v>
      </c>
      <c r="C555" s="14"/>
      <c r="D555" s="14" t="s">
        <v>8</v>
      </c>
      <c r="E555" s="14" t="s">
        <v>2013</v>
      </c>
      <c r="F555" s="14"/>
      <c r="G555" s="14" t="s">
        <v>63</v>
      </c>
      <c r="H555" s="14" t="s">
        <v>1278</v>
      </c>
      <c r="I555" s="14" t="s">
        <v>1256</v>
      </c>
      <c r="J555" s="14"/>
      <c r="K555" s="14"/>
      <c r="L555" s="14"/>
      <c r="M555" s="14"/>
      <c r="N555" s="14"/>
      <c r="O555" s="14" t="s">
        <v>1279</v>
      </c>
      <c r="P555" s="14"/>
    </row>
    <row r="556" customFormat="false" ht="22.35" hidden="false" customHeight="false" outlineLevel="0" collapsed="false">
      <c r="A556" s="14" t="s">
        <v>2219</v>
      </c>
      <c r="B556" s="14" t="s">
        <v>2220</v>
      </c>
      <c r="C556" s="14"/>
      <c r="D556" s="14" t="s">
        <v>8</v>
      </c>
      <c r="E556" s="14" t="s">
        <v>2013</v>
      </c>
      <c r="F556" s="14"/>
      <c r="G556" s="14" t="s">
        <v>63</v>
      </c>
      <c r="H556" s="14" t="s">
        <v>1278</v>
      </c>
      <c r="I556" s="14" t="s">
        <v>1256</v>
      </c>
      <c r="J556" s="14"/>
      <c r="K556" s="14"/>
      <c r="L556" s="14"/>
      <c r="M556" s="14"/>
      <c r="N556" s="14"/>
      <c r="O556" s="14" t="s">
        <v>1279</v>
      </c>
      <c r="P556" s="14"/>
    </row>
    <row r="557" customFormat="false" ht="15" hidden="false" customHeight="false" outlineLevel="0" collapsed="false">
      <c r="A557" s="14" t="s">
        <v>2221</v>
      </c>
      <c r="B557" s="14" t="s">
        <v>2222</v>
      </c>
      <c r="C557" s="14"/>
      <c r="D557" s="14" t="s">
        <v>8</v>
      </c>
      <c r="E557" s="14" t="s">
        <v>2010</v>
      </c>
      <c r="F557" s="14"/>
      <c r="G557" s="14"/>
      <c r="H557" s="14" t="s">
        <v>1278</v>
      </c>
      <c r="I557" s="14" t="s">
        <v>1256</v>
      </c>
      <c r="J557" s="14"/>
      <c r="K557" s="14"/>
      <c r="L557" s="14"/>
      <c r="M557" s="14"/>
      <c r="N557" s="14"/>
      <c r="O557" s="14" t="s">
        <v>1279</v>
      </c>
      <c r="P557" s="14"/>
    </row>
    <row r="558" customFormat="false" ht="22.35" hidden="false" customHeight="false" outlineLevel="0" collapsed="false">
      <c r="A558" s="14" t="s">
        <v>2223</v>
      </c>
      <c r="B558" s="14" t="s">
        <v>2224</v>
      </c>
      <c r="C558" s="14"/>
      <c r="D558" s="14" t="s">
        <v>8</v>
      </c>
      <c r="E558" s="14" t="s">
        <v>2013</v>
      </c>
      <c r="F558" s="14"/>
      <c r="G558" s="14" t="s">
        <v>63</v>
      </c>
      <c r="H558" s="14" t="s">
        <v>1278</v>
      </c>
      <c r="I558" s="14" t="s">
        <v>1256</v>
      </c>
      <c r="J558" s="14"/>
      <c r="K558" s="14"/>
      <c r="L558" s="14"/>
      <c r="M558" s="14"/>
      <c r="N558" s="14"/>
      <c r="O558" s="14" t="s">
        <v>1279</v>
      </c>
      <c r="P558" s="14"/>
    </row>
    <row r="559" customFormat="false" ht="15" hidden="false" customHeight="false" outlineLevel="0" collapsed="false">
      <c r="A559" s="14" t="s">
        <v>2225</v>
      </c>
      <c r="B559" s="14" t="s">
        <v>2226</v>
      </c>
      <c r="C559" s="14"/>
      <c r="D559" s="14" t="s">
        <v>8</v>
      </c>
      <c r="E559" s="14" t="s">
        <v>2010</v>
      </c>
      <c r="F559" s="14"/>
      <c r="G559" s="14"/>
      <c r="H559" s="14" t="s">
        <v>1278</v>
      </c>
      <c r="I559" s="14" t="s">
        <v>1256</v>
      </c>
      <c r="J559" s="14"/>
      <c r="K559" s="14"/>
      <c r="L559" s="14"/>
      <c r="M559" s="14"/>
      <c r="N559" s="14"/>
      <c r="O559" s="14" t="s">
        <v>1279</v>
      </c>
      <c r="P559" s="14"/>
    </row>
    <row r="560" customFormat="false" ht="43.25" hidden="false" customHeight="false" outlineLevel="0" collapsed="false">
      <c r="A560" s="14" t="s">
        <v>2227</v>
      </c>
      <c r="B560" s="14" t="s">
        <v>2228</v>
      </c>
      <c r="C560" s="14"/>
      <c r="D560" s="14" t="s">
        <v>8</v>
      </c>
      <c r="E560" s="14" t="s">
        <v>2054</v>
      </c>
      <c r="F560" s="14"/>
      <c r="G560" s="14" t="s">
        <v>77</v>
      </c>
      <c r="H560" s="14" t="s">
        <v>1278</v>
      </c>
      <c r="I560" s="14" t="s">
        <v>2229</v>
      </c>
      <c r="J560" s="14"/>
      <c r="K560" s="14"/>
      <c r="L560" s="14"/>
      <c r="M560" s="14"/>
      <c r="N560" s="14"/>
      <c r="O560" s="14" t="s">
        <v>1279</v>
      </c>
      <c r="P560" s="14" t="s">
        <v>2230</v>
      </c>
    </row>
    <row r="561" customFormat="false" ht="22.35" hidden="false" customHeight="false" outlineLevel="0" collapsed="false">
      <c r="A561" s="14" t="s">
        <v>2231</v>
      </c>
      <c r="B561" s="14" t="s">
        <v>2232</v>
      </c>
      <c r="C561" s="14"/>
      <c r="D561" s="14" t="s">
        <v>8</v>
      </c>
      <c r="E561" s="14" t="s">
        <v>2013</v>
      </c>
      <c r="F561" s="14"/>
      <c r="G561" s="14" t="s">
        <v>63</v>
      </c>
      <c r="H561" s="14" t="s">
        <v>1278</v>
      </c>
      <c r="I561" s="14" t="s">
        <v>1256</v>
      </c>
      <c r="J561" s="14"/>
      <c r="K561" s="14"/>
      <c r="L561" s="14"/>
      <c r="M561" s="14"/>
      <c r="N561" s="14"/>
      <c r="O561" s="14" t="s">
        <v>1279</v>
      </c>
      <c r="P561" s="14"/>
    </row>
    <row r="562" customFormat="false" ht="53.7" hidden="false" customHeight="false" outlineLevel="0" collapsed="false">
      <c r="A562" s="14" t="s">
        <v>2233</v>
      </c>
      <c r="B562" s="14" t="s">
        <v>2234</v>
      </c>
      <c r="C562" s="14"/>
      <c r="D562" s="14" t="s">
        <v>8</v>
      </c>
      <c r="E562" s="14" t="s">
        <v>2013</v>
      </c>
      <c r="F562" s="14"/>
      <c r="G562" s="14" t="s">
        <v>2235</v>
      </c>
      <c r="H562" s="14" t="s">
        <v>1278</v>
      </c>
      <c r="I562" s="14" t="s">
        <v>1256</v>
      </c>
      <c r="J562" s="14"/>
      <c r="K562" s="14"/>
      <c r="L562" s="14"/>
      <c r="M562" s="14"/>
      <c r="N562" s="14"/>
      <c r="O562" s="14" t="s">
        <v>1279</v>
      </c>
      <c r="P562" s="14"/>
    </row>
    <row r="563" customFormat="false" ht="15" hidden="false" customHeight="false" outlineLevel="0" collapsed="false">
      <c r="A563" s="14" t="s">
        <v>2236</v>
      </c>
      <c r="B563" s="14" t="s">
        <v>2237</v>
      </c>
      <c r="C563" s="14"/>
      <c r="D563" s="14" t="s">
        <v>8</v>
      </c>
      <c r="E563" s="14" t="s">
        <v>2010</v>
      </c>
      <c r="F563" s="14"/>
      <c r="G563" s="14"/>
      <c r="H563" s="14" t="s">
        <v>1278</v>
      </c>
      <c r="I563" s="14" t="s">
        <v>1256</v>
      </c>
      <c r="J563" s="14"/>
      <c r="K563" s="14"/>
      <c r="L563" s="14"/>
      <c r="M563" s="14"/>
      <c r="N563" s="14"/>
      <c r="O563" s="14" t="s">
        <v>1279</v>
      </c>
      <c r="P563" s="14"/>
    </row>
    <row r="564" customFormat="false" ht="22.35" hidden="false" customHeight="false" outlineLevel="0" collapsed="false">
      <c r="A564" s="14" t="s">
        <v>2238</v>
      </c>
      <c r="B564" s="14" t="s">
        <v>2239</v>
      </c>
      <c r="C564" s="14"/>
      <c r="D564" s="14" t="s">
        <v>8</v>
      </c>
      <c r="E564" s="14" t="s">
        <v>2013</v>
      </c>
      <c r="F564" s="14"/>
      <c r="G564" s="14" t="s">
        <v>2240</v>
      </c>
      <c r="H564" s="14" t="s">
        <v>1278</v>
      </c>
      <c r="I564" s="14" t="s">
        <v>1256</v>
      </c>
      <c r="J564" s="14"/>
      <c r="K564" s="14"/>
      <c r="L564" s="14"/>
      <c r="M564" s="14"/>
      <c r="N564" s="14"/>
      <c r="O564" s="14" t="s">
        <v>1279</v>
      </c>
      <c r="P564" s="14"/>
    </row>
    <row r="565" customFormat="false" ht="15" hidden="false" customHeight="false" outlineLevel="0" collapsed="false">
      <c r="A565" s="14" t="s">
        <v>2241</v>
      </c>
      <c r="B565" s="14" t="s">
        <v>2242</v>
      </c>
      <c r="C565" s="14"/>
      <c r="D565" s="14" t="s">
        <v>8</v>
      </c>
      <c r="E565" s="14" t="s">
        <v>2054</v>
      </c>
      <c r="F565" s="14"/>
      <c r="G565" s="14" t="s">
        <v>77</v>
      </c>
      <c r="H565" s="14" t="s">
        <v>1278</v>
      </c>
      <c r="I565" s="14" t="s">
        <v>1291</v>
      </c>
      <c r="J565" s="14"/>
      <c r="K565" s="14"/>
      <c r="L565" s="14"/>
      <c r="M565" s="14"/>
      <c r="N565" s="14"/>
      <c r="O565" s="14" t="s">
        <v>1279</v>
      </c>
      <c r="P565" s="14"/>
    </row>
    <row r="566" customFormat="false" ht="22.35" hidden="false" customHeight="false" outlineLevel="0" collapsed="false">
      <c r="A566" s="14" t="s">
        <v>2243</v>
      </c>
      <c r="B566" s="14" t="s">
        <v>2244</v>
      </c>
      <c r="C566" s="14"/>
      <c r="D566" s="14" t="s">
        <v>8</v>
      </c>
      <c r="E566" s="14" t="s">
        <v>2013</v>
      </c>
      <c r="F566" s="14"/>
      <c r="G566" s="14" t="s">
        <v>63</v>
      </c>
      <c r="H566" s="14" t="s">
        <v>1278</v>
      </c>
      <c r="I566" s="14" t="s">
        <v>1256</v>
      </c>
      <c r="J566" s="14"/>
      <c r="K566" s="14"/>
      <c r="L566" s="14"/>
      <c r="M566" s="14"/>
      <c r="N566" s="14"/>
      <c r="O566" s="14" t="s">
        <v>1279</v>
      </c>
      <c r="P566" s="14"/>
    </row>
    <row r="567" customFormat="false" ht="22.35" hidden="false" customHeight="false" outlineLevel="0" collapsed="false">
      <c r="A567" s="14" t="s">
        <v>2245</v>
      </c>
      <c r="B567" s="14" t="s">
        <v>2246</v>
      </c>
      <c r="C567" s="14"/>
      <c r="D567" s="14" t="s">
        <v>8</v>
      </c>
      <c r="E567" s="14" t="s">
        <v>2013</v>
      </c>
      <c r="F567" s="14"/>
      <c r="G567" s="14" t="s">
        <v>63</v>
      </c>
      <c r="H567" s="14" t="s">
        <v>1278</v>
      </c>
      <c r="I567" s="14" t="s">
        <v>1256</v>
      </c>
      <c r="J567" s="14"/>
      <c r="K567" s="14"/>
      <c r="L567" s="14"/>
      <c r="M567" s="14"/>
      <c r="N567" s="14"/>
      <c r="O567" s="14" t="s">
        <v>1279</v>
      </c>
      <c r="P567" s="14"/>
    </row>
    <row r="568" customFormat="false" ht="74.6" hidden="false" customHeight="false" outlineLevel="0" collapsed="false">
      <c r="A568" s="14" t="s">
        <v>2247</v>
      </c>
      <c r="B568" s="14" t="s">
        <v>2248</v>
      </c>
      <c r="C568" s="14"/>
      <c r="D568" s="14" t="s">
        <v>8</v>
      </c>
      <c r="E568" s="14" t="s">
        <v>2013</v>
      </c>
      <c r="F568" s="14"/>
      <c r="G568" s="14" t="s">
        <v>2249</v>
      </c>
      <c r="H568" s="14" t="s">
        <v>1278</v>
      </c>
      <c r="I568" s="14" t="s">
        <v>1256</v>
      </c>
      <c r="J568" s="14"/>
      <c r="K568" s="14"/>
      <c r="L568" s="14"/>
      <c r="M568" s="14"/>
      <c r="N568" s="14"/>
      <c r="O568" s="14" t="s">
        <v>1279</v>
      </c>
      <c r="P568" s="14"/>
    </row>
    <row r="569" customFormat="false" ht="22.35" hidden="false" customHeight="false" outlineLevel="0" collapsed="false">
      <c r="A569" s="14" t="s">
        <v>2250</v>
      </c>
      <c r="B569" s="14" t="s">
        <v>2251</v>
      </c>
      <c r="C569" s="14"/>
      <c r="D569" s="14" t="s">
        <v>8</v>
      </c>
      <c r="E569" s="14" t="s">
        <v>2013</v>
      </c>
      <c r="F569" s="14"/>
      <c r="G569" s="14" t="s">
        <v>2252</v>
      </c>
      <c r="H569" s="14" t="s">
        <v>1278</v>
      </c>
      <c r="I569" s="14" t="s">
        <v>2026</v>
      </c>
      <c r="J569" s="14"/>
      <c r="K569" s="14"/>
      <c r="L569" s="14"/>
      <c r="M569" s="14"/>
      <c r="N569" s="14"/>
      <c r="O569" s="14" t="s">
        <v>1279</v>
      </c>
      <c r="P569" s="14"/>
    </row>
    <row r="570" customFormat="false" ht="22.35" hidden="false" customHeight="false" outlineLevel="0" collapsed="false">
      <c r="A570" s="14" t="s">
        <v>2253</v>
      </c>
      <c r="B570" s="14" t="s">
        <v>2254</v>
      </c>
      <c r="C570" s="14"/>
      <c r="D570" s="14" t="s">
        <v>8</v>
      </c>
      <c r="E570" s="14" t="s">
        <v>2013</v>
      </c>
      <c r="F570" s="14"/>
      <c r="G570" s="14" t="s">
        <v>63</v>
      </c>
      <c r="H570" s="14" t="s">
        <v>1278</v>
      </c>
      <c r="I570" s="14" t="s">
        <v>1256</v>
      </c>
      <c r="J570" s="14"/>
      <c r="K570" s="14"/>
      <c r="L570" s="14"/>
      <c r="M570" s="14"/>
      <c r="N570" s="14"/>
      <c r="O570" s="14" t="s">
        <v>1279</v>
      </c>
      <c r="P570" s="14"/>
    </row>
    <row r="571" customFormat="false" ht="22.35" hidden="false" customHeight="false" outlineLevel="0" collapsed="false">
      <c r="A571" s="14" t="s">
        <v>2255</v>
      </c>
      <c r="B571" s="14" t="s">
        <v>2256</v>
      </c>
      <c r="C571" s="14"/>
      <c r="D571" s="14" t="s">
        <v>8</v>
      </c>
      <c r="E571" s="14" t="s">
        <v>2013</v>
      </c>
      <c r="F571" s="14"/>
      <c r="G571" s="14" t="s">
        <v>2257</v>
      </c>
      <c r="H571" s="14" t="s">
        <v>1278</v>
      </c>
      <c r="I571" s="14" t="s">
        <v>2026</v>
      </c>
      <c r="J571" s="14"/>
      <c r="K571" s="14"/>
      <c r="L571" s="14"/>
      <c r="M571" s="14"/>
      <c r="N571" s="14"/>
      <c r="O571" s="14" t="s">
        <v>1279</v>
      </c>
      <c r="P571" s="14"/>
    </row>
    <row r="572" customFormat="false" ht="22.35" hidden="false" customHeight="false" outlineLevel="0" collapsed="false">
      <c r="A572" s="14" t="s">
        <v>2258</v>
      </c>
      <c r="B572" s="14" t="s">
        <v>2259</v>
      </c>
      <c r="C572" s="14"/>
      <c r="D572" s="14" t="s">
        <v>8</v>
      </c>
      <c r="E572" s="14" t="s">
        <v>2013</v>
      </c>
      <c r="F572" s="14"/>
      <c r="G572" s="14" t="s">
        <v>63</v>
      </c>
      <c r="H572" s="14" t="s">
        <v>1278</v>
      </c>
      <c r="I572" s="14" t="s">
        <v>1256</v>
      </c>
      <c r="J572" s="14"/>
      <c r="K572" s="14"/>
      <c r="L572" s="14"/>
      <c r="M572" s="14"/>
      <c r="N572" s="14"/>
      <c r="O572" s="14" t="s">
        <v>1279</v>
      </c>
      <c r="P572" s="14"/>
    </row>
    <row r="573" customFormat="false" ht="64.15" hidden="false" customHeight="false" outlineLevel="0" collapsed="false">
      <c r="A573" s="14" t="s">
        <v>2260</v>
      </c>
      <c r="B573" s="14" t="s">
        <v>2261</v>
      </c>
      <c r="C573" s="14"/>
      <c r="D573" s="14" t="s">
        <v>8</v>
      </c>
      <c r="E573" s="14" t="s">
        <v>2013</v>
      </c>
      <c r="F573" s="14"/>
      <c r="G573" s="14" t="s">
        <v>2262</v>
      </c>
      <c r="H573" s="14" t="s">
        <v>1278</v>
      </c>
      <c r="I573" s="14" t="s">
        <v>2026</v>
      </c>
      <c r="J573" s="14"/>
      <c r="K573" s="14"/>
      <c r="L573" s="14"/>
      <c r="M573" s="14"/>
      <c r="N573" s="14"/>
      <c r="O573" s="14" t="s">
        <v>1279</v>
      </c>
      <c r="P573" s="14"/>
    </row>
    <row r="574" customFormat="false" ht="64.15" hidden="false" customHeight="false" outlineLevel="0" collapsed="false">
      <c r="A574" s="14" t="s">
        <v>2263</v>
      </c>
      <c r="B574" s="14" t="s">
        <v>2264</v>
      </c>
      <c r="C574" s="14"/>
      <c r="D574" s="14" t="s">
        <v>8</v>
      </c>
      <c r="E574" s="14" t="s">
        <v>2010</v>
      </c>
      <c r="F574" s="14"/>
      <c r="G574" s="14" t="s">
        <v>2265</v>
      </c>
      <c r="H574" s="14" t="s">
        <v>1278</v>
      </c>
      <c r="I574" s="14" t="s">
        <v>2026</v>
      </c>
      <c r="J574" s="14"/>
      <c r="K574" s="14"/>
      <c r="L574" s="14"/>
      <c r="M574" s="14"/>
      <c r="N574" s="14"/>
      <c r="O574" s="14" t="s">
        <v>1279</v>
      </c>
      <c r="P574" s="14"/>
    </row>
    <row r="575" customFormat="false" ht="15" hidden="false" customHeight="false" outlineLevel="0" collapsed="false">
      <c r="A575" s="14" t="s">
        <v>2266</v>
      </c>
      <c r="B575" s="14" t="s">
        <v>2267</v>
      </c>
      <c r="C575" s="14"/>
      <c r="D575" s="14" t="s">
        <v>8</v>
      </c>
      <c r="E575" s="14" t="s">
        <v>2010</v>
      </c>
      <c r="F575" s="14"/>
      <c r="G575" s="14"/>
      <c r="H575" s="14" t="s">
        <v>1278</v>
      </c>
      <c r="I575" s="14" t="s">
        <v>1256</v>
      </c>
      <c r="J575" s="14"/>
      <c r="K575" s="14"/>
      <c r="L575" s="14"/>
      <c r="M575" s="14"/>
      <c r="N575" s="14"/>
      <c r="O575" s="14" t="s">
        <v>1279</v>
      </c>
      <c r="P575" s="14"/>
    </row>
    <row r="576" customFormat="false" ht="22.35" hidden="false" customHeight="false" outlineLevel="0" collapsed="false">
      <c r="A576" s="14" t="s">
        <v>2268</v>
      </c>
      <c r="B576" s="14" t="s">
        <v>2269</v>
      </c>
      <c r="C576" s="14"/>
      <c r="D576" s="14" t="s">
        <v>8</v>
      </c>
      <c r="E576" s="14" t="s">
        <v>2013</v>
      </c>
      <c r="F576" s="14"/>
      <c r="G576" s="14" t="s">
        <v>63</v>
      </c>
      <c r="H576" s="14" t="s">
        <v>1278</v>
      </c>
      <c r="I576" s="14" t="s">
        <v>1256</v>
      </c>
      <c r="J576" s="14"/>
      <c r="K576" s="14"/>
      <c r="L576" s="14"/>
      <c r="M576" s="14"/>
      <c r="N576" s="14"/>
      <c r="O576" s="14" t="s">
        <v>1279</v>
      </c>
      <c r="P576" s="14"/>
    </row>
    <row r="577" customFormat="false" ht="22.35" hidden="false" customHeight="false" outlineLevel="0" collapsed="false">
      <c r="A577" s="14" t="s">
        <v>2270</v>
      </c>
      <c r="B577" s="14" t="s">
        <v>2271</v>
      </c>
      <c r="C577" s="14"/>
      <c r="D577" s="14" t="s">
        <v>8</v>
      </c>
      <c r="E577" s="14" t="s">
        <v>2013</v>
      </c>
      <c r="F577" s="14"/>
      <c r="G577" s="14" t="s">
        <v>63</v>
      </c>
      <c r="H577" s="14" t="s">
        <v>1278</v>
      </c>
      <c r="I577" s="14" t="s">
        <v>1256</v>
      </c>
      <c r="J577" s="14"/>
      <c r="K577" s="14"/>
      <c r="L577" s="14"/>
      <c r="M577" s="14"/>
      <c r="N577" s="14"/>
      <c r="O577" s="14" t="s">
        <v>1279</v>
      </c>
      <c r="P577" s="14"/>
    </row>
    <row r="578" customFormat="false" ht="22.35" hidden="false" customHeight="false" outlineLevel="0" collapsed="false">
      <c r="A578" s="14" t="s">
        <v>2272</v>
      </c>
      <c r="B578" s="14" t="s">
        <v>2273</v>
      </c>
      <c r="C578" s="14"/>
      <c r="D578" s="14" t="s">
        <v>8</v>
      </c>
      <c r="E578" s="14" t="s">
        <v>2013</v>
      </c>
      <c r="F578" s="14"/>
      <c r="G578" s="14" t="s">
        <v>63</v>
      </c>
      <c r="H578" s="14" t="s">
        <v>1278</v>
      </c>
      <c r="I578" s="14" t="s">
        <v>1256</v>
      </c>
      <c r="J578" s="14"/>
      <c r="K578" s="14"/>
      <c r="L578" s="14"/>
      <c r="M578" s="14"/>
      <c r="N578" s="14"/>
      <c r="O578" s="14" t="s">
        <v>1279</v>
      </c>
      <c r="P578" s="14"/>
    </row>
    <row r="579" customFormat="false" ht="22.35" hidden="false" customHeight="false" outlineLevel="0" collapsed="false">
      <c r="A579" s="14" t="s">
        <v>2274</v>
      </c>
      <c r="B579" s="14" t="s">
        <v>2275</v>
      </c>
      <c r="C579" s="14"/>
      <c r="D579" s="14" t="s">
        <v>8</v>
      </c>
      <c r="E579" s="14" t="s">
        <v>2013</v>
      </c>
      <c r="F579" s="14"/>
      <c r="G579" s="14" t="s">
        <v>63</v>
      </c>
      <c r="H579" s="14" t="s">
        <v>1278</v>
      </c>
      <c r="I579" s="14" t="s">
        <v>1256</v>
      </c>
      <c r="J579" s="14"/>
      <c r="K579" s="14"/>
      <c r="L579" s="14"/>
      <c r="M579" s="14"/>
      <c r="N579" s="14"/>
      <c r="O579" s="14" t="s">
        <v>1279</v>
      </c>
      <c r="P579" s="14"/>
    </row>
    <row r="580" customFormat="false" ht="32.8" hidden="false" customHeight="false" outlineLevel="0" collapsed="false">
      <c r="A580" s="14" t="s">
        <v>2276</v>
      </c>
      <c r="B580" s="14" t="s">
        <v>2277</v>
      </c>
      <c r="C580" s="14"/>
      <c r="D580" s="14" t="s">
        <v>8</v>
      </c>
      <c r="E580" s="14" t="s">
        <v>2013</v>
      </c>
      <c r="F580" s="14"/>
      <c r="G580" s="14" t="s">
        <v>2278</v>
      </c>
      <c r="H580" s="14" t="s">
        <v>1278</v>
      </c>
      <c r="I580" s="14" t="s">
        <v>2026</v>
      </c>
      <c r="J580" s="14"/>
      <c r="K580" s="14"/>
      <c r="L580" s="14"/>
      <c r="M580" s="14"/>
      <c r="N580" s="14"/>
      <c r="O580" s="14" t="s">
        <v>1279</v>
      </c>
      <c r="P580" s="14"/>
    </row>
    <row r="581" customFormat="false" ht="22.35" hidden="false" customHeight="false" outlineLevel="0" collapsed="false">
      <c r="A581" s="14" t="s">
        <v>2279</v>
      </c>
      <c r="B581" s="14" t="s">
        <v>2280</v>
      </c>
      <c r="C581" s="14"/>
      <c r="D581" s="14" t="s">
        <v>8</v>
      </c>
      <c r="E581" s="14" t="s">
        <v>2013</v>
      </c>
      <c r="F581" s="14"/>
      <c r="G581" s="14" t="s">
        <v>63</v>
      </c>
      <c r="H581" s="14" t="s">
        <v>1278</v>
      </c>
      <c r="I581" s="14" t="s">
        <v>1256</v>
      </c>
      <c r="J581" s="14"/>
      <c r="K581" s="14"/>
      <c r="L581" s="14"/>
      <c r="M581" s="14"/>
      <c r="N581" s="14"/>
      <c r="O581" s="14" t="s">
        <v>1279</v>
      </c>
      <c r="P581" s="14"/>
    </row>
    <row r="582" customFormat="false" ht="15" hidden="false" customHeight="false" outlineLevel="0" collapsed="false">
      <c r="A582" s="14" t="s">
        <v>2281</v>
      </c>
      <c r="B582" s="14" t="s">
        <v>2282</v>
      </c>
      <c r="C582" s="14"/>
      <c r="D582" s="14" t="s">
        <v>8</v>
      </c>
      <c r="E582" s="14" t="s">
        <v>2010</v>
      </c>
      <c r="F582" s="14"/>
      <c r="G582" s="14"/>
      <c r="H582" s="14" t="s">
        <v>1278</v>
      </c>
      <c r="I582" s="14" t="s">
        <v>1256</v>
      </c>
      <c r="J582" s="14"/>
      <c r="K582" s="14"/>
      <c r="L582" s="14"/>
      <c r="M582" s="14"/>
      <c r="N582" s="14"/>
      <c r="O582" s="14" t="s">
        <v>1279</v>
      </c>
      <c r="P582" s="14"/>
    </row>
    <row r="583" customFormat="false" ht="64.15" hidden="false" customHeight="false" outlineLevel="0" collapsed="false">
      <c r="A583" s="14" t="s">
        <v>2283</v>
      </c>
      <c r="B583" s="14" t="s">
        <v>2284</v>
      </c>
      <c r="C583" s="14"/>
      <c r="D583" s="14" t="s">
        <v>8</v>
      </c>
      <c r="E583" s="14" t="s">
        <v>2010</v>
      </c>
      <c r="F583" s="14"/>
      <c r="G583" s="14" t="s">
        <v>2285</v>
      </c>
      <c r="H583" s="14" t="s">
        <v>1278</v>
      </c>
      <c r="I583" s="14" t="s">
        <v>1256</v>
      </c>
      <c r="J583" s="14"/>
      <c r="K583" s="14"/>
      <c r="L583" s="14"/>
      <c r="M583" s="14"/>
      <c r="N583" s="14"/>
      <c r="O583" s="14" t="s">
        <v>1279</v>
      </c>
      <c r="P583" s="14"/>
    </row>
    <row r="584" customFormat="false" ht="32.8" hidden="false" customHeight="false" outlineLevel="0" collapsed="false">
      <c r="A584" s="14" t="s">
        <v>2286</v>
      </c>
      <c r="B584" s="14" t="s">
        <v>2287</v>
      </c>
      <c r="C584" s="14"/>
      <c r="D584" s="14" t="s">
        <v>8</v>
      </c>
      <c r="E584" s="14" t="s">
        <v>2013</v>
      </c>
      <c r="F584" s="14"/>
      <c r="G584" s="14" t="s">
        <v>2288</v>
      </c>
      <c r="H584" s="14" t="s">
        <v>1278</v>
      </c>
      <c r="I584" s="14" t="s">
        <v>2026</v>
      </c>
      <c r="J584" s="14"/>
      <c r="K584" s="14"/>
      <c r="L584" s="14"/>
      <c r="M584" s="14"/>
      <c r="N584" s="14"/>
      <c r="O584" s="14" t="s">
        <v>1279</v>
      </c>
      <c r="P584" s="14"/>
    </row>
    <row r="585" customFormat="false" ht="15" hidden="false" customHeight="false" outlineLevel="0" collapsed="false">
      <c r="A585" s="14" t="s">
        <v>2289</v>
      </c>
      <c r="B585" s="14" t="s">
        <v>2290</v>
      </c>
      <c r="C585" s="14"/>
      <c r="D585" s="14" t="s">
        <v>8</v>
      </c>
      <c r="E585" s="14" t="s">
        <v>2010</v>
      </c>
      <c r="F585" s="14"/>
      <c r="G585" s="14"/>
      <c r="H585" s="14" t="s">
        <v>1278</v>
      </c>
      <c r="I585" s="14" t="s">
        <v>1256</v>
      </c>
      <c r="J585" s="14"/>
      <c r="K585" s="14"/>
      <c r="L585" s="14"/>
      <c r="M585" s="14"/>
      <c r="N585" s="14"/>
      <c r="O585" s="14" t="s">
        <v>1279</v>
      </c>
      <c r="P585" s="14"/>
    </row>
    <row r="586" customFormat="false" ht="53.7" hidden="false" customHeight="false" outlineLevel="0" collapsed="false">
      <c r="A586" s="14" t="s">
        <v>2291</v>
      </c>
      <c r="B586" s="14" t="s">
        <v>2292</v>
      </c>
      <c r="C586" s="14"/>
      <c r="D586" s="14" t="s">
        <v>8</v>
      </c>
      <c r="E586" s="14" t="s">
        <v>2010</v>
      </c>
      <c r="F586" s="14"/>
      <c r="G586" s="14" t="s">
        <v>2293</v>
      </c>
      <c r="H586" s="14" t="s">
        <v>1278</v>
      </c>
      <c r="I586" s="14" t="s">
        <v>1291</v>
      </c>
      <c r="J586" s="14"/>
      <c r="K586" s="14"/>
      <c r="L586" s="14"/>
      <c r="M586" s="14"/>
      <c r="N586" s="14"/>
      <c r="O586" s="14" t="s">
        <v>1279</v>
      </c>
      <c r="P586" s="14"/>
    </row>
    <row r="587" customFormat="false" ht="43.25" hidden="false" customHeight="false" outlineLevel="0" collapsed="false">
      <c r="A587" s="14" t="s">
        <v>2294</v>
      </c>
      <c r="B587" s="14" t="s">
        <v>2295</v>
      </c>
      <c r="C587" s="14"/>
      <c r="D587" s="14" t="s">
        <v>8</v>
      </c>
      <c r="E587" s="14" t="s">
        <v>2010</v>
      </c>
      <c r="F587" s="14"/>
      <c r="G587" s="14" t="s">
        <v>2296</v>
      </c>
      <c r="H587" s="14" t="s">
        <v>1278</v>
      </c>
      <c r="I587" s="14" t="s">
        <v>1291</v>
      </c>
      <c r="J587" s="14"/>
      <c r="K587" s="14"/>
      <c r="L587" s="14"/>
      <c r="M587" s="14"/>
      <c r="N587" s="14"/>
      <c r="O587" s="14" t="s">
        <v>1279</v>
      </c>
      <c r="P587" s="14"/>
    </row>
    <row r="588" customFormat="false" ht="15" hidden="false" customHeight="false" outlineLevel="0" collapsed="false">
      <c r="A588" s="14" t="s">
        <v>2297</v>
      </c>
      <c r="B588" s="14" t="s">
        <v>2298</v>
      </c>
      <c r="C588" s="14"/>
      <c r="D588" s="14" t="s">
        <v>8</v>
      </c>
      <c r="E588" s="14" t="s">
        <v>2010</v>
      </c>
      <c r="F588" s="14"/>
      <c r="G588" s="14" t="s">
        <v>2142</v>
      </c>
      <c r="H588" s="14" t="s">
        <v>1278</v>
      </c>
      <c r="I588" s="14" t="s">
        <v>1291</v>
      </c>
      <c r="J588" s="14"/>
      <c r="K588" s="14"/>
      <c r="L588" s="14"/>
      <c r="M588" s="14"/>
      <c r="N588" s="14"/>
      <c r="O588" s="14" t="s">
        <v>1279</v>
      </c>
      <c r="P588" s="14"/>
    </row>
    <row r="589" customFormat="false" ht="15" hidden="false" customHeight="false" outlineLevel="0" collapsed="false">
      <c r="A589" s="14" t="s">
        <v>2299</v>
      </c>
      <c r="B589" s="14" t="s">
        <v>2300</v>
      </c>
      <c r="C589" s="14"/>
      <c r="D589" s="14" t="s">
        <v>8</v>
      </c>
      <c r="E589" s="14" t="s">
        <v>2010</v>
      </c>
      <c r="F589" s="14"/>
      <c r="G589" s="14"/>
      <c r="H589" s="14" t="s">
        <v>1278</v>
      </c>
      <c r="I589" s="14" t="s">
        <v>1256</v>
      </c>
      <c r="J589" s="14"/>
      <c r="K589" s="14"/>
      <c r="L589" s="14"/>
      <c r="M589" s="14"/>
      <c r="N589" s="14"/>
      <c r="O589" s="14" t="s">
        <v>1279</v>
      </c>
      <c r="P589" s="14"/>
    </row>
    <row r="590" customFormat="false" ht="15" hidden="false" customHeight="false" outlineLevel="0" collapsed="false">
      <c r="A590" s="14" t="s">
        <v>2301</v>
      </c>
      <c r="B590" s="14" t="s">
        <v>2302</v>
      </c>
      <c r="C590" s="14"/>
      <c r="D590" s="14" t="s">
        <v>8</v>
      </c>
      <c r="E590" s="14" t="s">
        <v>2054</v>
      </c>
      <c r="F590" s="14"/>
      <c r="G590" s="14" t="s">
        <v>77</v>
      </c>
      <c r="H590" s="14" t="s">
        <v>1278</v>
      </c>
      <c r="I590" s="14" t="s">
        <v>1107</v>
      </c>
      <c r="J590" s="14"/>
      <c r="K590" s="14"/>
      <c r="L590" s="14"/>
      <c r="M590" s="14"/>
      <c r="N590" s="14"/>
      <c r="O590" s="14" t="s">
        <v>1279</v>
      </c>
      <c r="P590" s="14"/>
    </row>
    <row r="591" customFormat="false" ht="32.8" hidden="false" customHeight="false" outlineLevel="0" collapsed="false">
      <c r="A591" s="14" t="s">
        <v>2303</v>
      </c>
      <c r="B591" s="14" t="s">
        <v>2304</v>
      </c>
      <c r="C591" s="14"/>
      <c r="D591" s="14" t="s">
        <v>8</v>
      </c>
      <c r="E591" s="14" t="s">
        <v>2013</v>
      </c>
      <c r="F591" s="14"/>
      <c r="G591" s="14" t="s">
        <v>2305</v>
      </c>
      <c r="H591" s="14" t="s">
        <v>1278</v>
      </c>
      <c r="I591" s="14" t="s">
        <v>1256</v>
      </c>
      <c r="J591" s="14"/>
      <c r="K591" s="14"/>
      <c r="L591" s="14"/>
      <c r="M591" s="14"/>
      <c r="N591" s="14"/>
      <c r="O591" s="14" t="s">
        <v>1279</v>
      </c>
      <c r="P591" s="14"/>
    </row>
    <row r="592" customFormat="false" ht="15" hidden="false" customHeight="false" outlineLevel="0" collapsed="false">
      <c r="A592" s="14" t="s">
        <v>2306</v>
      </c>
      <c r="B592" s="14" t="s">
        <v>2307</v>
      </c>
      <c r="C592" s="14"/>
      <c r="D592" s="14" t="s">
        <v>8</v>
      </c>
      <c r="E592" s="14" t="s">
        <v>2010</v>
      </c>
      <c r="F592" s="14"/>
      <c r="G592" s="14"/>
      <c r="H592" s="14" t="s">
        <v>1278</v>
      </c>
      <c r="I592" s="14" t="s">
        <v>1256</v>
      </c>
      <c r="J592" s="14"/>
      <c r="K592" s="14"/>
      <c r="L592" s="14"/>
      <c r="M592" s="14"/>
      <c r="N592" s="14"/>
      <c r="O592" s="14" t="s">
        <v>1279</v>
      </c>
      <c r="P592" s="14"/>
    </row>
    <row r="593" customFormat="false" ht="43.25" hidden="false" customHeight="false" outlineLevel="0" collapsed="false">
      <c r="A593" s="14" t="s">
        <v>2308</v>
      </c>
      <c r="B593" s="14" t="s">
        <v>2309</v>
      </c>
      <c r="C593" s="14"/>
      <c r="D593" s="14" t="s">
        <v>8</v>
      </c>
      <c r="E593" s="14" t="s">
        <v>2010</v>
      </c>
      <c r="F593" s="14"/>
      <c r="G593" s="14" t="s">
        <v>2310</v>
      </c>
      <c r="H593" s="14" t="s">
        <v>1278</v>
      </c>
      <c r="I593" s="14" t="s">
        <v>2026</v>
      </c>
      <c r="J593" s="14"/>
      <c r="K593" s="14"/>
      <c r="L593" s="14"/>
      <c r="M593" s="14"/>
      <c r="N593" s="14"/>
      <c r="O593" s="14" t="s">
        <v>1279</v>
      </c>
      <c r="P593" s="14"/>
    </row>
    <row r="594" customFormat="false" ht="15" hidden="false" customHeight="false" outlineLevel="0" collapsed="false">
      <c r="A594" s="14" t="s">
        <v>2311</v>
      </c>
      <c r="B594" s="14" t="s">
        <v>2312</v>
      </c>
      <c r="C594" s="14"/>
      <c r="D594" s="14" t="s">
        <v>8</v>
      </c>
      <c r="E594" s="14" t="s">
        <v>2010</v>
      </c>
      <c r="F594" s="14"/>
      <c r="G594" s="14"/>
      <c r="H594" s="14" t="s">
        <v>1278</v>
      </c>
      <c r="I594" s="14" t="s">
        <v>1256</v>
      </c>
      <c r="J594" s="14"/>
      <c r="K594" s="14"/>
      <c r="L594" s="14"/>
      <c r="M594" s="14"/>
      <c r="N594" s="14"/>
      <c r="O594" s="14" t="s">
        <v>1279</v>
      </c>
      <c r="P594" s="14"/>
    </row>
    <row r="595" customFormat="false" ht="15" hidden="false" customHeight="false" outlineLevel="0" collapsed="false">
      <c r="A595" s="14" t="s">
        <v>2313</v>
      </c>
      <c r="B595" s="14" t="s">
        <v>2314</v>
      </c>
      <c r="C595" s="14"/>
      <c r="D595" s="14" t="s">
        <v>8</v>
      </c>
      <c r="E595" s="14" t="s">
        <v>2054</v>
      </c>
      <c r="F595" s="14"/>
      <c r="G595" s="14" t="s">
        <v>2315</v>
      </c>
      <c r="H595" s="14" t="s">
        <v>1278</v>
      </c>
      <c r="I595" s="14" t="s">
        <v>1107</v>
      </c>
      <c r="J595" s="14"/>
      <c r="K595" s="14"/>
      <c r="L595" s="14"/>
      <c r="M595" s="14"/>
      <c r="N595" s="14"/>
      <c r="O595" s="14" t="s">
        <v>1279</v>
      </c>
      <c r="P595" s="14"/>
    </row>
    <row r="596" customFormat="false" ht="15" hidden="false" customHeight="false" outlineLevel="0" collapsed="false">
      <c r="A596" s="14" t="s">
        <v>2316</v>
      </c>
      <c r="B596" s="14" t="s">
        <v>2317</v>
      </c>
      <c r="C596" s="14"/>
      <c r="D596" s="14" t="s">
        <v>8</v>
      </c>
      <c r="E596" s="14" t="s">
        <v>2054</v>
      </c>
      <c r="F596" s="14"/>
      <c r="G596" s="14" t="s">
        <v>77</v>
      </c>
      <c r="H596" s="14" t="s">
        <v>1278</v>
      </c>
      <c r="I596" s="14" t="s">
        <v>1256</v>
      </c>
      <c r="J596" s="14"/>
      <c r="K596" s="14"/>
      <c r="L596" s="14"/>
      <c r="M596" s="14"/>
      <c r="N596" s="14"/>
      <c r="O596" s="14" t="s">
        <v>1279</v>
      </c>
      <c r="P596" s="14"/>
    </row>
    <row r="597" customFormat="false" ht="22.35" hidden="false" customHeight="false" outlineLevel="0" collapsed="false">
      <c r="A597" s="14" t="s">
        <v>2318</v>
      </c>
      <c r="B597" s="14" t="s">
        <v>2319</v>
      </c>
      <c r="C597" s="14"/>
      <c r="D597" s="14" t="s">
        <v>8</v>
      </c>
      <c r="E597" s="14" t="s">
        <v>2013</v>
      </c>
      <c r="F597" s="14"/>
      <c r="G597" s="14" t="s">
        <v>63</v>
      </c>
      <c r="H597" s="14" t="s">
        <v>1278</v>
      </c>
      <c r="I597" s="14" t="s">
        <v>1256</v>
      </c>
      <c r="J597" s="14"/>
      <c r="K597" s="14"/>
      <c r="L597" s="14"/>
      <c r="M597" s="14"/>
      <c r="N597" s="14"/>
      <c r="O597" s="14" t="s">
        <v>1279</v>
      </c>
      <c r="P597" s="14"/>
    </row>
    <row r="598" customFormat="false" ht="22.35" hidden="false" customHeight="false" outlineLevel="0" collapsed="false">
      <c r="A598" s="14" t="s">
        <v>2320</v>
      </c>
      <c r="B598" s="14" t="s">
        <v>2321</v>
      </c>
      <c r="C598" s="14"/>
      <c r="D598" s="14" t="s">
        <v>8</v>
      </c>
      <c r="E598" s="14" t="s">
        <v>2013</v>
      </c>
      <c r="F598" s="14"/>
      <c r="G598" s="14" t="s">
        <v>63</v>
      </c>
      <c r="H598" s="14" t="s">
        <v>1278</v>
      </c>
      <c r="I598" s="14" t="s">
        <v>1256</v>
      </c>
      <c r="J598" s="14"/>
      <c r="K598" s="14"/>
      <c r="L598" s="14"/>
      <c r="M598" s="14"/>
      <c r="N598" s="14"/>
      <c r="O598" s="14" t="s">
        <v>1279</v>
      </c>
      <c r="P598" s="14"/>
    </row>
    <row r="599" customFormat="false" ht="64.15" hidden="false" customHeight="false" outlineLevel="0" collapsed="false">
      <c r="A599" s="14" t="s">
        <v>2322</v>
      </c>
      <c r="B599" s="14" t="s">
        <v>2323</v>
      </c>
      <c r="C599" s="14"/>
      <c r="D599" s="14" t="s">
        <v>8</v>
      </c>
      <c r="E599" s="14" t="s">
        <v>2010</v>
      </c>
      <c r="F599" s="14"/>
      <c r="G599" s="14" t="s">
        <v>2324</v>
      </c>
      <c r="H599" s="14" t="s">
        <v>1278</v>
      </c>
      <c r="I599" s="14" t="s">
        <v>2026</v>
      </c>
      <c r="J599" s="14"/>
      <c r="K599" s="14"/>
      <c r="L599" s="14"/>
      <c r="M599" s="14"/>
      <c r="N599" s="14"/>
      <c r="O599" s="14" t="s">
        <v>1279</v>
      </c>
      <c r="P599" s="14"/>
    </row>
    <row r="600" customFormat="false" ht="53.7" hidden="false" customHeight="false" outlineLevel="0" collapsed="false">
      <c r="A600" s="14" t="s">
        <v>2325</v>
      </c>
      <c r="B600" s="14" t="s">
        <v>2326</v>
      </c>
      <c r="C600" s="14"/>
      <c r="D600" s="14" t="s">
        <v>8</v>
      </c>
      <c r="E600" s="14" t="s">
        <v>2013</v>
      </c>
      <c r="F600" s="14"/>
      <c r="G600" s="14" t="s">
        <v>2327</v>
      </c>
      <c r="H600" s="14" t="s">
        <v>1278</v>
      </c>
      <c r="I600" s="14" t="s">
        <v>2026</v>
      </c>
      <c r="J600" s="14"/>
      <c r="K600" s="14"/>
      <c r="L600" s="14"/>
      <c r="M600" s="14"/>
      <c r="N600" s="14"/>
      <c r="O600" s="14" t="s">
        <v>1279</v>
      </c>
      <c r="P600" s="14"/>
    </row>
    <row r="601" customFormat="false" ht="15" hidden="false" customHeight="false" outlineLevel="0" collapsed="false">
      <c r="A601" s="14" t="s">
        <v>2328</v>
      </c>
      <c r="B601" s="14" t="s">
        <v>2329</v>
      </c>
      <c r="C601" s="14"/>
      <c r="D601" s="14" t="s">
        <v>8</v>
      </c>
      <c r="E601" s="14" t="s">
        <v>2010</v>
      </c>
      <c r="F601" s="14"/>
      <c r="G601" s="14"/>
      <c r="H601" s="14" t="s">
        <v>1278</v>
      </c>
      <c r="I601" s="14" t="s">
        <v>1256</v>
      </c>
      <c r="J601" s="14"/>
      <c r="K601" s="14"/>
      <c r="L601" s="14"/>
      <c r="M601" s="14"/>
      <c r="N601" s="14"/>
      <c r="O601" s="14" t="s">
        <v>1279</v>
      </c>
      <c r="P601" s="14"/>
    </row>
    <row r="602" customFormat="false" ht="22.35" hidden="false" customHeight="false" outlineLevel="0" collapsed="false">
      <c r="A602" s="14" t="s">
        <v>2330</v>
      </c>
      <c r="B602" s="14" t="s">
        <v>2331</v>
      </c>
      <c r="C602" s="14"/>
      <c r="D602" s="14" t="s">
        <v>8</v>
      </c>
      <c r="E602" s="14" t="s">
        <v>2013</v>
      </c>
      <c r="F602" s="14"/>
      <c r="G602" s="14" t="s">
        <v>63</v>
      </c>
      <c r="H602" s="14" t="s">
        <v>1278</v>
      </c>
      <c r="I602" s="14" t="s">
        <v>1256</v>
      </c>
      <c r="J602" s="14"/>
      <c r="K602" s="14"/>
      <c r="L602" s="14"/>
      <c r="M602" s="14"/>
      <c r="N602" s="14"/>
      <c r="O602" s="14" t="s">
        <v>1279</v>
      </c>
      <c r="P602" s="14"/>
    </row>
    <row r="603" customFormat="false" ht="74.6" hidden="false" customHeight="false" outlineLevel="0" collapsed="false">
      <c r="A603" s="14" t="s">
        <v>2332</v>
      </c>
      <c r="B603" s="14" t="s">
        <v>2333</v>
      </c>
      <c r="C603" s="14"/>
      <c r="D603" s="14" t="s">
        <v>8</v>
      </c>
      <c r="E603" s="14" t="s">
        <v>2013</v>
      </c>
      <c r="F603" s="14"/>
      <c r="G603" s="14" t="s">
        <v>2334</v>
      </c>
      <c r="H603" s="14" t="s">
        <v>1278</v>
      </c>
      <c r="I603" s="14" t="s">
        <v>2026</v>
      </c>
      <c r="J603" s="14"/>
      <c r="K603" s="14"/>
      <c r="L603" s="14"/>
      <c r="M603" s="14"/>
      <c r="N603" s="14"/>
      <c r="O603" s="14" t="s">
        <v>1279</v>
      </c>
      <c r="P603" s="14"/>
    </row>
    <row r="604" customFormat="false" ht="53.7" hidden="false" customHeight="false" outlineLevel="0" collapsed="false">
      <c r="A604" s="14" t="s">
        <v>2335</v>
      </c>
      <c r="B604" s="14" t="s">
        <v>2336</v>
      </c>
      <c r="C604" s="14"/>
      <c r="D604" s="14" t="s">
        <v>8</v>
      </c>
      <c r="E604" s="14" t="s">
        <v>2013</v>
      </c>
      <c r="F604" s="14"/>
      <c r="G604" s="14" t="s">
        <v>2337</v>
      </c>
      <c r="H604" s="14" t="s">
        <v>1278</v>
      </c>
      <c r="I604" s="14" t="s">
        <v>1256</v>
      </c>
      <c r="J604" s="14"/>
      <c r="K604" s="14"/>
      <c r="L604" s="14"/>
      <c r="M604" s="14"/>
      <c r="N604" s="14"/>
      <c r="O604" s="14" t="s">
        <v>1279</v>
      </c>
      <c r="P604" s="14"/>
    </row>
    <row r="605" customFormat="false" ht="15" hidden="false" customHeight="false" outlineLevel="0" collapsed="false">
      <c r="A605" s="14" t="s">
        <v>2338</v>
      </c>
      <c r="B605" s="14" t="s">
        <v>2339</v>
      </c>
      <c r="C605" s="14"/>
      <c r="D605" s="14" t="s">
        <v>8</v>
      </c>
      <c r="E605" s="14" t="s">
        <v>2010</v>
      </c>
      <c r="F605" s="14"/>
      <c r="G605" s="14"/>
      <c r="H605" s="14" t="s">
        <v>1278</v>
      </c>
      <c r="I605" s="14" t="s">
        <v>1256</v>
      </c>
      <c r="J605" s="14"/>
      <c r="K605" s="14"/>
      <c r="L605" s="14"/>
      <c r="M605" s="14"/>
      <c r="N605" s="14"/>
      <c r="O605" s="14" t="s">
        <v>1279</v>
      </c>
      <c r="P605" s="14"/>
    </row>
    <row r="606" customFormat="false" ht="15" hidden="false" customHeight="false" outlineLevel="0" collapsed="false">
      <c r="A606" s="14" t="s">
        <v>2340</v>
      </c>
      <c r="B606" s="14" t="s">
        <v>2341</v>
      </c>
      <c r="C606" s="14"/>
      <c r="D606" s="14" t="s">
        <v>8</v>
      </c>
      <c r="E606" s="14" t="s">
        <v>2054</v>
      </c>
      <c r="F606" s="14"/>
      <c r="G606" s="14" t="s">
        <v>77</v>
      </c>
      <c r="H606" s="14" t="s">
        <v>1278</v>
      </c>
      <c r="I606" s="14" t="s">
        <v>1291</v>
      </c>
      <c r="J606" s="14"/>
      <c r="K606" s="14"/>
      <c r="L606" s="14"/>
      <c r="M606" s="14"/>
      <c r="N606" s="14"/>
      <c r="O606" s="14" t="s">
        <v>1279</v>
      </c>
      <c r="P606" s="14"/>
    </row>
    <row r="607" customFormat="false" ht="22.35" hidden="false" customHeight="false" outlineLevel="0" collapsed="false">
      <c r="A607" s="14" t="s">
        <v>2342</v>
      </c>
      <c r="B607" s="14" t="s">
        <v>2343</v>
      </c>
      <c r="C607" s="14"/>
      <c r="D607" s="14" t="s">
        <v>8</v>
      </c>
      <c r="E607" s="14" t="s">
        <v>2013</v>
      </c>
      <c r="F607" s="14"/>
      <c r="G607" s="14" t="s">
        <v>63</v>
      </c>
      <c r="H607" s="14" t="s">
        <v>1278</v>
      </c>
      <c r="I607" s="14" t="s">
        <v>1256</v>
      </c>
      <c r="J607" s="14"/>
      <c r="K607" s="14"/>
      <c r="L607" s="14"/>
      <c r="M607" s="14"/>
      <c r="N607" s="14"/>
      <c r="O607" s="14" t="s">
        <v>1279</v>
      </c>
      <c r="P607" s="14"/>
    </row>
    <row r="608" customFormat="false" ht="22.35" hidden="false" customHeight="false" outlineLevel="0" collapsed="false">
      <c r="A608" s="14" t="s">
        <v>2344</v>
      </c>
      <c r="B608" s="14" t="s">
        <v>2345</v>
      </c>
      <c r="C608" s="14"/>
      <c r="D608" s="14" t="s">
        <v>8</v>
      </c>
      <c r="E608" s="14" t="s">
        <v>2013</v>
      </c>
      <c r="F608" s="14"/>
      <c r="G608" s="14" t="s">
        <v>63</v>
      </c>
      <c r="H608" s="14" t="s">
        <v>1278</v>
      </c>
      <c r="I608" s="14" t="s">
        <v>1256</v>
      </c>
      <c r="J608" s="14"/>
      <c r="K608" s="14"/>
      <c r="L608" s="14"/>
      <c r="M608" s="14"/>
      <c r="N608" s="14"/>
      <c r="O608" s="14" t="s">
        <v>1279</v>
      </c>
      <c r="P608" s="14"/>
    </row>
    <row r="609" customFormat="false" ht="15" hidden="false" customHeight="false" outlineLevel="0" collapsed="false">
      <c r="A609" s="14" t="s">
        <v>2346</v>
      </c>
      <c r="B609" s="14" t="s">
        <v>2347</v>
      </c>
      <c r="C609" s="14"/>
      <c r="D609" s="14" t="s">
        <v>8</v>
      </c>
      <c r="E609" s="14" t="s">
        <v>2010</v>
      </c>
      <c r="F609" s="14"/>
      <c r="G609" s="14"/>
      <c r="H609" s="14" t="s">
        <v>1278</v>
      </c>
      <c r="I609" s="14" t="s">
        <v>1256</v>
      </c>
      <c r="J609" s="14"/>
      <c r="K609" s="14"/>
      <c r="L609" s="14"/>
      <c r="M609" s="14"/>
      <c r="N609" s="14"/>
      <c r="O609" s="14" t="s">
        <v>1279</v>
      </c>
      <c r="P609" s="14"/>
    </row>
    <row r="610" customFormat="false" ht="32.8" hidden="false" customHeight="false" outlineLevel="0" collapsed="false">
      <c r="A610" s="14" t="s">
        <v>2348</v>
      </c>
      <c r="B610" s="14" t="s">
        <v>2349</v>
      </c>
      <c r="C610" s="14"/>
      <c r="D610" s="14" t="s">
        <v>8</v>
      </c>
      <c r="E610" s="14" t="s">
        <v>2010</v>
      </c>
      <c r="F610" s="14"/>
      <c r="G610" s="14" t="s">
        <v>2350</v>
      </c>
      <c r="H610" s="14" t="s">
        <v>1278</v>
      </c>
      <c r="I610" s="14" t="s">
        <v>2026</v>
      </c>
      <c r="J610" s="14"/>
      <c r="K610" s="14"/>
      <c r="L610" s="14"/>
      <c r="M610" s="14"/>
      <c r="N610" s="14"/>
      <c r="O610" s="14" t="s">
        <v>1279</v>
      </c>
      <c r="P610" s="14"/>
    </row>
    <row r="611" customFormat="false" ht="53.7" hidden="false" customHeight="false" outlineLevel="0" collapsed="false">
      <c r="A611" s="14" t="s">
        <v>2351</v>
      </c>
      <c r="B611" s="14" t="s">
        <v>2352</v>
      </c>
      <c r="C611" s="14"/>
      <c r="D611" s="14" t="s">
        <v>8</v>
      </c>
      <c r="E611" s="14" t="s">
        <v>2013</v>
      </c>
      <c r="F611" s="14"/>
      <c r="G611" s="14" t="s">
        <v>2353</v>
      </c>
      <c r="H611" s="14" t="s">
        <v>1278</v>
      </c>
      <c r="I611" s="14" t="s">
        <v>2026</v>
      </c>
      <c r="J611" s="14"/>
      <c r="K611" s="14"/>
      <c r="L611" s="14"/>
      <c r="M611" s="14"/>
      <c r="N611" s="14"/>
      <c r="O611" s="14" t="s">
        <v>1279</v>
      </c>
      <c r="P611" s="14"/>
    </row>
    <row r="612" customFormat="false" ht="15" hidden="false" customHeight="false" outlineLevel="0" collapsed="false">
      <c r="A612" s="14" t="s">
        <v>2354</v>
      </c>
      <c r="B612" s="14" t="s">
        <v>2355</v>
      </c>
      <c r="C612" s="14"/>
      <c r="D612" s="14" t="s">
        <v>8</v>
      </c>
      <c r="E612" s="14" t="s">
        <v>2010</v>
      </c>
      <c r="F612" s="14"/>
      <c r="G612" s="14"/>
      <c r="H612" s="14" t="s">
        <v>1278</v>
      </c>
      <c r="I612" s="14" t="s">
        <v>1256</v>
      </c>
      <c r="J612" s="14"/>
      <c r="K612" s="14"/>
      <c r="L612" s="14"/>
      <c r="M612" s="14"/>
      <c r="N612" s="14"/>
      <c r="O612" s="14" t="s">
        <v>1279</v>
      </c>
      <c r="P612" s="14"/>
    </row>
    <row r="613" customFormat="false" ht="15" hidden="false" customHeight="false" outlineLevel="0" collapsed="false">
      <c r="A613" s="14" t="s">
        <v>2356</v>
      </c>
      <c r="B613" s="14" t="s">
        <v>2357</v>
      </c>
      <c r="C613" s="14"/>
      <c r="D613" s="14" t="s">
        <v>8</v>
      </c>
      <c r="E613" s="14" t="s">
        <v>2010</v>
      </c>
      <c r="F613" s="14"/>
      <c r="G613" s="14"/>
      <c r="H613" s="14" t="s">
        <v>1278</v>
      </c>
      <c r="I613" s="14" t="s">
        <v>1256</v>
      </c>
      <c r="J613" s="14"/>
      <c r="K613" s="14"/>
      <c r="L613" s="14"/>
      <c r="M613" s="14"/>
      <c r="N613" s="14"/>
      <c r="O613" s="14" t="s">
        <v>1279</v>
      </c>
      <c r="P613" s="14"/>
    </row>
    <row r="614" customFormat="false" ht="74.6" hidden="false" customHeight="false" outlineLevel="0" collapsed="false">
      <c r="A614" s="14" t="s">
        <v>2358</v>
      </c>
      <c r="B614" s="14" t="s">
        <v>2359</v>
      </c>
      <c r="C614" s="14"/>
      <c r="D614" s="14" t="s">
        <v>8</v>
      </c>
      <c r="E614" s="14" t="s">
        <v>2013</v>
      </c>
      <c r="F614" s="14"/>
      <c r="G614" s="14" t="s">
        <v>2360</v>
      </c>
      <c r="H614" s="14" t="s">
        <v>1278</v>
      </c>
      <c r="I614" s="14" t="s">
        <v>2026</v>
      </c>
      <c r="J614" s="14"/>
      <c r="K614" s="14"/>
      <c r="L614" s="14"/>
      <c r="M614" s="14"/>
      <c r="N614" s="14"/>
      <c r="O614" s="14" t="s">
        <v>1279</v>
      </c>
      <c r="P614" s="14"/>
    </row>
    <row r="615" customFormat="false" ht="22.35" hidden="false" customHeight="false" outlineLevel="0" collapsed="false">
      <c r="A615" s="14" t="s">
        <v>2361</v>
      </c>
      <c r="B615" s="14" t="s">
        <v>2362</v>
      </c>
      <c r="C615" s="14"/>
      <c r="D615" s="14" t="s">
        <v>8</v>
      </c>
      <c r="E615" s="14" t="s">
        <v>2013</v>
      </c>
      <c r="F615" s="14"/>
      <c r="G615" s="14" t="s">
        <v>63</v>
      </c>
      <c r="H615" s="14" t="s">
        <v>1278</v>
      </c>
      <c r="I615" s="14" t="s">
        <v>1256</v>
      </c>
      <c r="J615" s="14"/>
      <c r="K615" s="14"/>
      <c r="L615" s="14"/>
      <c r="M615" s="14"/>
      <c r="N615" s="14"/>
      <c r="O615" s="14" t="s">
        <v>1279</v>
      </c>
      <c r="P615" s="14"/>
    </row>
    <row r="616" customFormat="false" ht="15" hidden="false" customHeight="false" outlineLevel="0" collapsed="false">
      <c r="A616" s="14" t="s">
        <v>2363</v>
      </c>
      <c r="B616" s="14" t="s">
        <v>2364</v>
      </c>
      <c r="C616" s="14"/>
      <c r="D616" s="14" t="s">
        <v>8</v>
      </c>
      <c r="E616" s="14" t="s">
        <v>2010</v>
      </c>
      <c r="F616" s="14"/>
      <c r="G616" s="14"/>
      <c r="H616" s="14" t="s">
        <v>1278</v>
      </c>
      <c r="I616" s="14" t="s">
        <v>1256</v>
      </c>
      <c r="J616" s="14"/>
      <c r="K616" s="14"/>
      <c r="L616" s="14"/>
      <c r="M616" s="14"/>
      <c r="N616" s="14"/>
      <c r="O616" s="14" t="s">
        <v>1279</v>
      </c>
      <c r="P616" s="14"/>
    </row>
    <row r="617" customFormat="false" ht="22.35" hidden="false" customHeight="false" outlineLevel="0" collapsed="false">
      <c r="A617" s="14" t="s">
        <v>2365</v>
      </c>
      <c r="B617" s="14" t="s">
        <v>2366</v>
      </c>
      <c r="C617" s="14"/>
      <c r="D617" s="14" t="s">
        <v>8</v>
      </c>
      <c r="E617" s="14" t="s">
        <v>2013</v>
      </c>
      <c r="F617" s="14"/>
      <c r="G617" s="14" t="s">
        <v>63</v>
      </c>
      <c r="H617" s="14" t="s">
        <v>1278</v>
      </c>
      <c r="I617" s="14" t="s">
        <v>1256</v>
      </c>
      <c r="J617" s="14"/>
      <c r="K617" s="14"/>
      <c r="L617" s="14"/>
      <c r="M617" s="14"/>
      <c r="N617" s="14"/>
      <c r="O617" s="14" t="s">
        <v>1279</v>
      </c>
      <c r="P617" s="14"/>
    </row>
    <row r="618" customFormat="false" ht="22.35" hidden="false" customHeight="false" outlineLevel="0" collapsed="false">
      <c r="A618" s="14" t="s">
        <v>2367</v>
      </c>
      <c r="B618" s="14" t="s">
        <v>2368</v>
      </c>
      <c r="C618" s="14"/>
      <c r="D618" s="14" t="s">
        <v>8</v>
      </c>
      <c r="E618" s="14" t="s">
        <v>2013</v>
      </c>
      <c r="F618" s="14"/>
      <c r="G618" s="14" t="s">
        <v>63</v>
      </c>
      <c r="H618" s="14" t="s">
        <v>1278</v>
      </c>
      <c r="I618" s="14" t="s">
        <v>1256</v>
      </c>
      <c r="J618" s="14"/>
      <c r="K618" s="14"/>
      <c r="L618" s="14"/>
      <c r="M618" s="14"/>
      <c r="N618" s="14"/>
      <c r="O618" s="14" t="s">
        <v>1279</v>
      </c>
      <c r="P618" s="14"/>
    </row>
    <row r="619" customFormat="false" ht="53.7" hidden="false" customHeight="false" outlineLevel="0" collapsed="false">
      <c r="A619" s="14" t="s">
        <v>2369</v>
      </c>
      <c r="B619" s="14" t="s">
        <v>2370</v>
      </c>
      <c r="C619" s="14"/>
      <c r="D619" s="14" t="s">
        <v>8</v>
      </c>
      <c r="E619" s="14" t="s">
        <v>2010</v>
      </c>
      <c r="F619" s="14"/>
      <c r="G619" s="14" t="s">
        <v>2371</v>
      </c>
      <c r="H619" s="14" t="s">
        <v>1278</v>
      </c>
      <c r="I619" s="14" t="s">
        <v>1256</v>
      </c>
      <c r="J619" s="14"/>
      <c r="K619" s="14"/>
      <c r="L619" s="14"/>
      <c r="M619" s="14"/>
      <c r="N619" s="14"/>
      <c r="O619" s="14" t="s">
        <v>1279</v>
      </c>
      <c r="P619" s="14"/>
    </row>
    <row r="620" customFormat="false" ht="15" hidden="false" customHeight="false" outlineLevel="0" collapsed="false">
      <c r="A620" s="14" t="s">
        <v>2372</v>
      </c>
      <c r="B620" s="14" t="s">
        <v>2373</v>
      </c>
      <c r="C620" s="14"/>
      <c r="D620" s="14" t="s">
        <v>8</v>
      </c>
      <c r="E620" s="14" t="s">
        <v>2010</v>
      </c>
      <c r="F620" s="14"/>
      <c r="G620" s="14" t="s">
        <v>63</v>
      </c>
      <c r="H620" s="14" t="s">
        <v>1278</v>
      </c>
      <c r="I620" s="14" t="s">
        <v>2026</v>
      </c>
      <c r="J620" s="14"/>
      <c r="K620" s="14"/>
      <c r="L620" s="14"/>
      <c r="M620" s="14"/>
      <c r="N620" s="14"/>
      <c r="O620" s="14" t="s">
        <v>1279</v>
      </c>
      <c r="P620" s="14"/>
    </row>
    <row r="621" customFormat="false" ht="15" hidden="false" customHeight="false" outlineLevel="0" collapsed="false">
      <c r="A621" s="14" t="s">
        <v>2374</v>
      </c>
      <c r="B621" s="14" t="s">
        <v>2375</v>
      </c>
      <c r="C621" s="14"/>
      <c r="D621" s="14" t="s">
        <v>8</v>
      </c>
      <c r="E621" s="14" t="s">
        <v>2010</v>
      </c>
      <c r="F621" s="14"/>
      <c r="G621" s="14"/>
      <c r="H621" s="14" t="s">
        <v>1278</v>
      </c>
      <c r="I621" s="14" t="s">
        <v>1256</v>
      </c>
      <c r="J621" s="14"/>
      <c r="K621" s="14"/>
      <c r="L621" s="14"/>
      <c r="M621" s="14"/>
      <c r="N621" s="14"/>
      <c r="O621" s="14" t="s">
        <v>1279</v>
      </c>
      <c r="P621" s="14"/>
    </row>
    <row r="622" customFormat="false" ht="22.35" hidden="false" customHeight="false" outlineLevel="0" collapsed="false">
      <c r="A622" s="14" t="s">
        <v>2376</v>
      </c>
      <c r="B622" s="14" t="s">
        <v>2377</v>
      </c>
      <c r="C622" s="14"/>
      <c r="D622" s="14" t="s">
        <v>8</v>
      </c>
      <c r="E622" s="14" t="s">
        <v>2013</v>
      </c>
      <c r="F622" s="14"/>
      <c r="G622" s="14" t="s">
        <v>63</v>
      </c>
      <c r="H622" s="14" t="s">
        <v>1278</v>
      </c>
      <c r="I622" s="14" t="s">
        <v>1256</v>
      </c>
      <c r="J622" s="14"/>
      <c r="K622" s="14"/>
      <c r="L622" s="14"/>
      <c r="M622" s="14"/>
      <c r="N622" s="14"/>
      <c r="O622" s="14" t="s">
        <v>1279</v>
      </c>
      <c r="P622" s="14"/>
    </row>
    <row r="623" customFormat="false" ht="15" hidden="false" customHeight="false" outlineLevel="0" collapsed="false">
      <c r="A623" s="14" t="s">
        <v>2378</v>
      </c>
      <c r="B623" s="14" t="s">
        <v>2379</v>
      </c>
      <c r="C623" s="14"/>
      <c r="D623" s="14" t="s">
        <v>8</v>
      </c>
      <c r="E623" s="14" t="s">
        <v>2010</v>
      </c>
      <c r="F623" s="14"/>
      <c r="G623" s="14"/>
      <c r="H623" s="14" t="s">
        <v>1278</v>
      </c>
      <c r="I623" s="14" t="s">
        <v>1256</v>
      </c>
      <c r="J623" s="14"/>
      <c r="K623" s="14"/>
      <c r="L623" s="14"/>
      <c r="M623" s="14"/>
      <c r="N623" s="14"/>
      <c r="O623" s="14" t="s">
        <v>1279</v>
      </c>
      <c r="P623" s="14"/>
    </row>
    <row r="624" customFormat="false" ht="43.25" hidden="false" customHeight="false" outlineLevel="0" collapsed="false">
      <c r="A624" s="14" t="s">
        <v>2380</v>
      </c>
      <c r="B624" s="14" t="s">
        <v>2381</v>
      </c>
      <c r="C624" s="14"/>
      <c r="D624" s="14" t="s">
        <v>8</v>
      </c>
      <c r="E624" s="14" t="s">
        <v>2013</v>
      </c>
      <c r="F624" s="14"/>
      <c r="G624" s="14" t="s">
        <v>2382</v>
      </c>
      <c r="H624" s="14" t="s">
        <v>1278</v>
      </c>
      <c r="I624" s="14" t="s">
        <v>2026</v>
      </c>
      <c r="J624" s="14"/>
      <c r="K624" s="14"/>
      <c r="L624" s="14"/>
      <c r="M624" s="14"/>
      <c r="N624" s="14"/>
      <c r="O624" s="14" t="s">
        <v>1279</v>
      </c>
      <c r="P624" s="14"/>
    </row>
    <row r="625" customFormat="false" ht="32.8" hidden="false" customHeight="false" outlineLevel="0" collapsed="false">
      <c r="A625" s="14" t="s">
        <v>2383</v>
      </c>
      <c r="B625" s="14" t="s">
        <v>2384</v>
      </c>
      <c r="C625" s="14"/>
      <c r="D625" s="14" t="s">
        <v>8</v>
      </c>
      <c r="E625" s="14" t="s">
        <v>2013</v>
      </c>
      <c r="F625" s="14"/>
      <c r="G625" s="14" t="s">
        <v>2385</v>
      </c>
      <c r="H625" s="14" t="s">
        <v>1278</v>
      </c>
      <c r="I625" s="14" t="s">
        <v>1256</v>
      </c>
      <c r="J625" s="14"/>
      <c r="K625" s="14"/>
      <c r="L625" s="14"/>
      <c r="M625" s="14"/>
      <c r="N625" s="14"/>
      <c r="O625" s="14" t="s">
        <v>1279</v>
      </c>
      <c r="P625" s="14"/>
    </row>
    <row r="626" customFormat="false" ht="22.35" hidden="false" customHeight="false" outlineLevel="0" collapsed="false">
      <c r="A626" s="14" t="s">
        <v>2386</v>
      </c>
      <c r="B626" s="14" t="s">
        <v>2387</v>
      </c>
      <c r="C626" s="14"/>
      <c r="D626" s="14" t="s">
        <v>8</v>
      </c>
      <c r="E626" s="14" t="s">
        <v>2013</v>
      </c>
      <c r="F626" s="14"/>
      <c r="G626" s="14" t="s">
        <v>63</v>
      </c>
      <c r="H626" s="14" t="s">
        <v>1278</v>
      </c>
      <c r="I626" s="14" t="s">
        <v>1256</v>
      </c>
      <c r="J626" s="14"/>
      <c r="K626" s="14"/>
      <c r="L626" s="14"/>
      <c r="M626" s="14"/>
      <c r="N626" s="14"/>
      <c r="O626" s="14" t="s">
        <v>1279</v>
      </c>
      <c r="P626" s="14"/>
    </row>
    <row r="627" customFormat="false" ht="22.35" hidden="false" customHeight="false" outlineLevel="0" collapsed="false">
      <c r="A627" s="14" t="s">
        <v>2388</v>
      </c>
      <c r="B627" s="14" t="s">
        <v>2389</v>
      </c>
      <c r="C627" s="14"/>
      <c r="D627" s="14" t="s">
        <v>8</v>
      </c>
      <c r="E627" s="14" t="s">
        <v>2013</v>
      </c>
      <c r="F627" s="14"/>
      <c r="G627" s="14" t="s">
        <v>63</v>
      </c>
      <c r="H627" s="14" t="s">
        <v>1278</v>
      </c>
      <c r="I627" s="14" t="s">
        <v>1256</v>
      </c>
      <c r="J627" s="14"/>
      <c r="K627" s="14"/>
      <c r="L627" s="14"/>
      <c r="M627" s="14"/>
      <c r="N627" s="14"/>
      <c r="O627" s="14" t="s">
        <v>1279</v>
      </c>
      <c r="P627" s="14"/>
    </row>
    <row r="628" customFormat="false" ht="22.35" hidden="false" customHeight="false" outlineLevel="0" collapsed="false">
      <c r="A628" s="14" t="s">
        <v>2390</v>
      </c>
      <c r="B628" s="14" t="s">
        <v>2391</v>
      </c>
      <c r="C628" s="14"/>
      <c r="D628" s="14" t="s">
        <v>8</v>
      </c>
      <c r="E628" s="14" t="s">
        <v>2013</v>
      </c>
      <c r="F628" s="14"/>
      <c r="G628" s="14" t="s">
        <v>63</v>
      </c>
      <c r="H628" s="14" t="s">
        <v>1278</v>
      </c>
      <c r="I628" s="14" t="s">
        <v>1256</v>
      </c>
      <c r="J628" s="14"/>
      <c r="K628" s="14"/>
      <c r="L628" s="14"/>
      <c r="M628" s="14"/>
      <c r="N628" s="14"/>
      <c r="O628" s="14" t="s">
        <v>1279</v>
      </c>
      <c r="P628" s="14"/>
    </row>
    <row r="629" customFormat="false" ht="43.25" hidden="false" customHeight="false" outlineLevel="0" collapsed="false">
      <c r="A629" s="14" t="s">
        <v>2392</v>
      </c>
      <c r="B629" s="14" t="s">
        <v>2393</v>
      </c>
      <c r="C629" s="14"/>
      <c r="D629" s="14" t="s">
        <v>8</v>
      </c>
      <c r="E629" s="14" t="s">
        <v>2010</v>
      </c>
      <c r="F629" s="14"/>
      <c r="G629" s="14" t="s">
        <v>2394</v>
      </c>
      <c r="H629" s="14" t="s">
        <v>1278</v>
      </c>
      <c r="I629" s="14" t="s">
        <v>2026</v>
      </c>
      <c r="J629" s="14"/>
      <c r="K629" s="14"/>
      <c r="L629" s="14"/>
      <c r="M629" s="14"/>
      <c r="N629" s="14"/>
      <c r="O629" s="14" t="s">
        <v>1279</v>
      </c>
      <c r="P629" s="14"/>
    </row>
    <row r="630" customFormat="false" ht="15" hidden="false" customHeight="false" outlineLevel="0" collapsed="false">
      <c r="A630" s="14" t="s">
        <v>2395</v>
      </c>
      <c r="B630" s="14" t="s">
        <v>2396</v>
      </c>
      <c r="C630" s="14"/>
      <c r="D630" s="14" t="s">
        <v>8</v>
      </c>
      <c r="E630" s="14" t="s">
        <v>2010</v>
      </c>
      <c r="F630" s="14"/>
      <c r="G630" s="14"/>
      <c r="H630" s="14" t="s">
        <v>1278</v>
      </c>
      <c r="I630" s="14" t="s">
        <v>1256</v>
      </c>
      <c r="J630" s="14"/>
      <c r="K630" s="14"/>
      <c r="L630" s="14"/>
      <c r="M630" s="14"/>
      <c r="N630" s="14"/>
      <c r="O630" s="14" t="s">
        <v>1279</v>
      </c>
      <c r="P630" s="14"/>
    </row>
    <row r="631" customFormat="false" ht="53.7" hidden="false" customHeight="false" outlineLevel="0" collapsed="false">
      <c r="A631" s="14" t="s">
        <v>2397</v>
      </c>
      <c r="B631" s="14" t="s">
        <v>2398</v>
      </c>
      <c r="C631" s="14"/>
      <c r="D631" s="14" t="s">
        <v>8</v>
      </c>
      <c r="E631" s="14" t="s">
        <v>2013</v>
      </c>
      <c r="F631" s="14"/>
      <c r="G631" s="14" t="s">
        <v>2399</v>
      </c>
      <c r="H631" s="14" t="s">
        <v>1278</v>
      </c>
      <c r="I631" s="14" t="s">
        <v>2026</v>
      </c>
      <c r="J631" s="14"/>
      <c r="K631" s="14"/>
      <c r="L631" s="14"/>
      <c r="M631" s="14"/>
      <c r="N631" s="14"/>
      <c r="O631" s="14" t="s">
        <v>1279</v>
      </c>
      <c r="P631" s="14"/>
    </row>
    <row r="632" customFormat="false" ht="22.35" hidden="false" customHeight="false" outlineLevel="0" collapsed="false">
      <c r="A632" s="14" t="s">
        <v>2400</v>
      </c>
      <c r="B632" s="14" t="s">
        <v>2401</v>
      </c>
      <c r="C632" s="14"/>
      <c r="D632" s="14" t="s">
        <v>8</v>
      </c>
      <c r="E632" s="14" t="s">
        <v>2013</v>
      </c>
      <c r="F632" s="14"/>
      <c r="G632" s="14" t="s">
        <v>63</v>
      </c>
      <c r="H632" s="14" t="s">
        <v>1278</v>
      </c>
      <c r="I632" s="14" t="s">
        <v>1256</v>
      </c>
      <c r="J632" s="14"/>
      <c r="K632" s="14"/>
      <c r="L632" s="14"/>
      <c r="M632" s="14"/>
      <c r="N632" s="14"/>
      <c r="O632" s="14" t="s">
        <v>1279</v>
      </c>
      <c r="P632" s="14"/>
    </row>
    <row r="633" customFormat="false" ht="15" hidden="false" customHeight="false" outlineLevel="0" collapsed="false">
      <c r="A633" s="14" t="s">
        <v>2402</v>
      </c>
      <c r="B633" s="14" t="s">
        <v>2403</v>
      </c>
      <c r="C633" s="14"/>
      <c r="D633" s="14" t="s">
        <v>8</v>
      </c>
      <c r="E633" s="14" t="s">
        <v>2010</v>
      </c>
      <c r="F633" s="14"/>
      <c r="G633" s="14"/>
      <c r="H633" s="14" t="s">
        <v>1278</v>
      </c>
      <c r="I633" s="14" t="s">
        <v>1256</v>
      </c>
      <c r="J633" s="14"/>
      <c r="K633" s="14"/>
      <c r="L633" s="14"/>
      <c r="M633" s="14"/>
      <c r="N633" s="14"/>
      <c r="O633" s="14" t="s">
        <v>1279</v>
      </c>
      <c r="P633" s="14"/>
    </row>
    <row r="634" customFormat="false" ht="22.35" hidden="false" customHeight="false" outlineLevel="0" collapsed="false">
      <c r="A634" s="14" t="s">
        <v>2404</v>
      </c>
      <c r="B634" s="14" t="s">
        <v>2405</v>
      </c>
      <c r="C634" s="14"/>
      <c r="D634" s="14" t="s">
        <v>8</v>
      </c>
      <c r="E634" s="14" t="s">
        <v>2013</v>
      </c>
      <c r="F634" s="14"/>
      <c r="G634" s="14" t="s">
        <v>63</v>
      </c>
      <c r="H634" s="14" t="s">
        <v>1278</v>
      </c>
      <c r="I634" s="14" t="s">
        <v>1256</v>
      </c>
      <c r="J634" s="14"/>
      <c r="K634" s="14"/>
      <c r="L634" s="14"/>
      <c r="M634" s="14"/>
      <c r="N634" s="14"/>
      <c r="O634" s="14" t="s">
        <v>1279</v>
      </c>
      <c r="P634" s="14"/>
    </row>
    <row r="635" customFormat="false" ht="64.15" hidden="false" customHeight="false" outlineLevel="0" collapsed="false">
      <c r="A635" s="14" t="s">
        <v>2406</v>
      </c>
      <c r="B635" s="14" t="s">
        <v>2407</v>
      </c>
      <c r="C635" s="14"/>
      <c r="D635" s="14" t="s">
        <v>8</v>
      </c>
      <c r="E635" s="14" t="s">
        <v>2010</v>
      </c>
      <c r="F635" s="14"/>
      <c r="G635" s="14" t="s">
        <v>2408</v>
      </c>
      <c r="H635" s="14" t="s">
        <v>1278</v>
      </c>
      <c r="I635" s="14" t="s">
        <v>2026</v>
      </c>
      <c r="J635" s="14"/>
      <c r="K635" s="14"/>
      <c r="L635" s="14"/>
      <c r="M635" s="14"/>
      <c r="N635" s="14"/>
      <c r="O635" s="14" t="s">
        <v>1279</v>
      </c>
      <c r="P635" s="14"/>
    </row>
    <row r="636" customFormat="false" ht="15" hidden="false" customHeight="false" outlineLevel="0" collapsed="false">
      <c r="A636" s="14" t="s">
        <v>2409</v>
      </c>
      <c r="B636" s="14" t="s">
        <v>2410</v>
      </c>
      <c r="C636" s="14"/>
      <c r="D636" s="14" t="s">
        <v>8</v>
      </c>
      <c r="E636" s="14" t="s">
        <v>2010</v>
      </c>
      <c r="F636" s="14"/>
      <c r="G636" s="14"/>
      <c r="H636" s="14" t="s">
        <v>1278</v>
      </c>
      <c r="I636" s="14" t="s">
        <v>1256</v>
      </c>
      <c r="J636" s="14"/>
      <c r="K636" s="14"/>
      <c r="L636" s="14"/>
      <c r="M636" s="14"/>
      <c r="N636" s="14"/>
      <c r="O636" s="14" t="s">
        <v>1279</v>
      </c>
      <c r="P636" s="14"/>
    </row>
    <row r="637" customFormat="false" ht="15" hidden="false" customHeight="false" outlineLevel="0" collapsed="false">
      <c r="A637" s="14" t="s">
        <v>2411</v>
      </c>
      <c r="B637" s="14" t="s">
        <v>2412</v>
      </c>
      <c r="C637" s="14"/>
      <c r="D637" s="14" t="s">
        <v>8</v>
      </c>
      <c r="E637" s="14" t="s">
        <v>2010</v>
      </c>
      <c r="F637" s="14"/>
      <c r="G637" s="14"/>
      <c r="H637" s="14" t="s">
        <v>1278</v>
      </c>
      <c r="I637" s="14" t="s">
        <v>1256</v>
      </c>
      <c r="J637" s="14"/>
      <c r="K637" s="14"/>
      <c r="L637" s="14"/>
      <c r="M637" s="14"/>
      <c r="N637" s="14"/>
      <c r="O637" s="14" t="s">
        <v>1279</v>
      </c>
      <c r="P637" s="14"/>
    </row>
    <row r="638" customFormat="false" ht="15" hidden="false" customHeight="false" outlineLevel="0" collapsed="false">
      <c r="A638" s="14" t="s">
        <v>2413</v>
      </c>
      <c r="B638" s="14" t="s">
        <v>2414</v>
      </c>
      <c r="C638" s="14"/>
      <c r="D638" s="14" t="s">
        <v>8</v>
      </c>
      <c r="E638" s="14" t="s">
        <v>2054</v>
      </c>
      <c r="F638" s="14"/>
      <c r="G638" s="14" t="s">
        <v>77</v>
      </c>
      <c r="H638" s="14" t="s">
        <v>1278</v>
      </c>
      <c r="I638" s="14" t="s">
        <v>1256</v>
      </c>
      <c r="J638" s="14"/>
      <c r="K638" s="14"/>
      <c r="L638" s="14"/>
      <c r="M638" s="14"/>
      <c r="N638" s="14"/>
      <c r="O638" s="14" t="s">
        <v>1279</v>
      </c>
      <c r="P638" s="14"/>
    </row>
    <row r="639" customFormat="false" ht="15" hidden="false" customHeight="false" outlineLevel="0" collapsed="false">
      <c r="A639" s="14" t="s">
        <v>2415</v>
      </c>
      <c r="B639" s="14" t="s">
        <v>2416</v>
      </c>
      <c r="C639" s="14"/>
      <c r="D639" s="14" t="s">
        <v>8</v>
      </c>
      <c r="E639" s="14" t="s">
        <v>2010</v>
      </c>
      <c r="F639" s="14"/>
      <c r="G639" s="14"/>
      <c r="H639" s="14" t="s">
        <v>1278</v>
      </c>
      <c r="I639" s="14" t="s">
        <v>1256</v>
      </c>
      <c r="J639" s="14"/>
      <c r="K639" s="14"/>
      <c r="L639" s="14"/>
      <c r="M639" s="14"/>
      <c r="N639" s="14"/>
      <c r="O639" s="14" t="s">
        <v>1279</v>
      </c>
      <c r="P639" s="14"/>
    </row>
    <row r="640" customFormat="false" ht="22.35" hidden="false" customHeight="false" outlineLevel="0" collapsed="false">
      <c r="A640" s="14" t="s">
        <v>2417</v>
      </c>
      <c r="B640" s="14" t="s">
        <v>2418</v>
      </c>
      <c r="C640" s="14"/>
      <c r="D640" s="14" t="s">
        <v>8</v>
      </c>
      <c r="E640" s="14" t="s">
        <v>2013</v>
      </c>
      <c r="F640" s="14"/>
      <c r="G640" s="14" t="s">
        <v>63</v>
      </c>
      <c r="H640" s="14" t="s">
        <v>1278</v>
      </c>
      <c r="I640" s="14" t="s">
        <v>1256</v>
      </c>
      <c r="J640" s="14"/>
      <c r="K640" s="14"/>
      <c r="L640" s="14"/>
      <c r="M640" s="14"/>
      <c r="N640" s="14"/>
      <c r="O640" s="14" t="s">
        <v>1279</v>
      </c>
      <c r="P640" s="14"/>
    </row>
    <row r="641" customFormat="false" ht="15" hidden="false" customHeight="false" outlineLevel="0" collapsed="false">
      <c r="A641" s="14" t="s">
        <v>2419</v>
      </c>
      <c r="B641" s="14" t="s">
        <v>2420</v>
      </c>
      <c r="C641" s="14"/>
      <c r="D641" s="14" t="s">
        <v>8</v>
      </c>
      <c r="E641" s="14" t="s">
        <v>2010</v>
      </c>
      <c r="F641" s="14"/>
      <c r="G641" s="14"/>
      <c r="H641" s="14" t="s">
        <v>1278</v>
      </c>
      <c r="I641" s="14" t="s">
        <v>1256</v>
      </c>
      <c r="J641" s="14"/>
      <c r="K641" s="14"/>
      <c r="L641" s="14"/>
      <c r="M641" s="14"/>
      <c r="N641" s="14"/>
      <c r="O641" s="14" t="s">
        <v>1279</v>
      </c>
      <c r="P641" s="14"/>
    </row>
    <row r="642" customFormat="false" ht="15" hidden="false" customHeight="false" outlineLevel="0" collapsed="false">
      <c r="A642" s="14" t="s">
        <v>2421</v>
      </c>
      <c r="B642" s="14" t="s">
        <v>2422</v>
      </c>
      <c r="C642" s="14"/>
      <c r="D642" s="14" t="s">
        <v>8</v>
      </c>
      <c r="E642" s="14" t="s">
        <v>2054</v>
      </c>
      <c r="F642" s="14"/>
      <c r="G642" s="14" t="s">
        <v>77</v>
      </c>
      <c r="H642" s="14" t="s">
        <v>1278</v>
      </c>
      <c r="I642" s="14" t="s">
        <v>1291</v>
      </c>
      <c r="J642" s="14"/>
      <c r="K642" s="14"/>
      <c r="L642" s="14"/>
      <c r="M642" s="14"/>
      <c r="N642" s="14"/>
      <c r="O642" s="14" t="s">
        <v>1279</v>
      </c>
      <c r="P642" s="14"/>
    </row>
    <row r="643" customFormat="false" ht="15" hidden="false" customHeight="false" outlineLevel="0" collapsed="false">
      <c r="A643" s="14" t="s">
        <v>2423</v>
      </c>
      <c r="B643" s="14" t="s">
        <v>2424</v>
      </c>
      <c r="C643" s="14"/>
      <c r="D643" s="14" t="s">
        <v>8</v>
      </c>
      <c r="E643" s="14" t="s">
        <v>2054</v>
      </c>
      <c r="F643" s="14"/>
      <c r="G643" s="14" t="s">
        <v>77</v>
      </c>
      <c r="H643" s="14" t="s">
        <v>1278</v>
      </c>
      <c r="I643" s="14" t="s">
        <v>1256</v>
      </c>
      <c r="J643" s="14"/>
      <c r="K643" s="14"/>
      <c r="L643" s="14"/>
      <c r="M643" s="14"/>
      <c r="N643" s="14"/>
      <c r="O643" s="14" t="s">
        <v>1279</v>
      </c>
      <c r="P643" s="14"/>
    </row>
    <row r="644" customFormat="false" ht="15" hidden="false" customHeight="false" outlineLevel="0" collapsed="false">
      <c r="A644" s="14" t="s">
        <v>2425</v>
      </c>
      <c r="B644" s="14" t="s">
        <v>2426</v>
      </c>
      <c r="C644" s="14"/>
      <c r="D644" s="14" t="s">
        <v>8</v>
      </c>
      <c r="E644" s="14" t="s">
        <v>2054</v>
      </c>
      <c r="F644" s="14"/>
      <c r="G644" s="14" t="s">
        <v>77</v>
      </c>
      <c r="H644" s="14" t="s">
        <v>1278</v>
      </c>
      <c r="I644" s="14" t="s">
        <v>1291</v>
      </c>
      <c r="J644" s="14"/>
      <c r="K644" s="14"/>
      <c r="L644" s="14"/>
      <c r="M644" s="14"/>
      <c r="N644" s="14"/>
      <c r="O644" s="14" t="s">
        <v>1279</v>
      </c>
      <c r="P644" s="14"/>
    </row>
    <row r="645" customFormat="false" ht="22.35" hidden="false" customHeight="false" outlineLevel="0" collapsed="false">
      <c r="A645" s="14" t="s">
        <v>2427</v>
      </c>
      <c r="B645" s="14" t="s">
        <v>2428</v>
      </c>
      <c r="C645" s="14"/>
      <c r="D645" s="14" t="s">
        <v>8</v>
      </c>
      <c r="E645" s="14" t="s">
        <v>2013</v>
      </c>
      <c r="F645" s="14"/>
      <c r="G645" s="14" t="s">
        <v>63</v>
      </c>
      <c r="H645" s="14" t="s">
        <v>1278</v>
      </c>
      <c r="I645" s="14" t="s">
        <v>1256</v>
      </c>
      <c r="J645" s="14"/>
      <c r="K645" s="14"/>
      <c r="L645" s="14"/>
      <c r="M645" s="14"/>
      <c r="N645" s="14"/>
      <c r="O645" s="14" t="s">
        <v>1279</v>
      </c>
      <c r="P645" s="14"/>
    </row>
    <row r="646" customFormat="false" ht="53.7" hidden="false" customHeight="false" outlineLevel="0" collapsed="false">
      <c r="A646" s="14" t="s">
        <v>2429</v>
      </c>
      <c r="B646" s="14" t="s">
        <v>2430</v>
      </c>
      <c r="C646" s="14"/>
      <c r="D646" s="14" t="s">
        <v>8</v>
      </c>
      <c r="E646" s="14" t="s">
        <v>2010</v>
      </c>
      <c r="F646" s="14"/>
      <c r="G646" s="14" t="s">
        <v>2431</v>
      </c>
      <c r="H646" s="14" t="s">
        <v>1278</v>
      </c>
      <c r="I646" s="14" t="s">
        <v>2026</v>
      </c>
      <c r="J646" s="14"/>
      <c r="K646" s="14"/>
      <c r="L646" s="14"/>
      <c r="M646" s="14"/>
      <c r="N646" s="14"/>
      <c r="O646" s="14" t="s">
        <v>1279</v>
      </c>
      <c r="P646" s="14"/>
    </row>
    <row r="647" customFormat="false" ht="15" hidden="false" customHeight="false" outlineLevel="0" collapsed="false">
      <c r="A647" s="14" t="s">
        <v>2432</v>
      </c>
      <c r="B647" s="14" t="s">
        <v>2433</v>
      </c>
      <c r="C647" s="14"/>
      <c r="D647" s="14" t="s">
        <v>8</v>
      </c>
      <c r="E647" s="14" t="s">
        <v>2010</v>
      </c>
      <c r="F647" s="14"/>
      <c r="G647" s="14"/>
      <c r="H647" s="14" t="s">
        <v>1278</v>
      </c>
      <c r="I647" s="14" t="s">
        <v>1256</v>
      </c>
      <c r="J647" s="14"/>
      <c r="K647" s="14"/>
      <c r="L647" s="14"/>
      <c r="M647" s="14"/>
      <c r="N647" s="14"/>
      <c r="O647" s="14" t="s">
        <v>1279</v>
      </c>
      <c r="P647" s="14"/>
    </row>
    <row r="648" customFormat="false" ht="22.35" hidden="false" customHeight="false" outlineLevel="0" collapsed="false">
      <c r="A648" s="14" t="s">
        <v>2434</v>
      </c>
      <c r="B648" s="14" t="s">
        <v>2435</v>
      </c>
      <c r="C648" s="14"/>
      <c r="D648" s="14" t="s">
        <v>8</v>
      </c>
      <c r="E648" s="14" t="s">
        <v>2013</v>
      </c>
      <c r="F648" s="14"/>
      <c r="G648" s="14" t="s">
        <v>63</v>
      </c>
      <c r="H648" s="14" t="s">
        <v>1278</v>
      </c>
      <c r="I648" s="14" t="s">
        <v>1256</v>
      </c>
      <c r="J648" s="14"/>
      <c r="K648" s="14"/>
      <c r="L648" s="14"/>
      <c r="M648" s="14"/>
      <c r="N648" s="14"/>
      <c r="O648" s="14" t="s">
        <v>1279</v>
      </c>
      <c r="P648" s="14"/>
    </row>
    <row r="649" customFormat="false" ht="74.6" hidden="false" customHeight="false" outlineLevel="0" collapsed="false">
      <c r="A649" s="14" t="s">
        <v>2436</v>
      </c>
      <c r="B649" s="14" t="s">
        <v>2437</v>
      </c>
      <c r="C649" s="14"/>
      <c r="D649" s="14" t="s">
        <v>8</v>
      </c>
      <c r="E649" s="14" t="s">
        <v>2013</v>
      </c>
      <c r="F649" s="14"/>
      <c r="G649" s="14" t="s">
        <v>2438</v>
      </c>
      <c r="H649" s="14" t="s">
        <v>1278</v>
      </c>
      <c r="I649" s="14" t="s">
        <v>2026</v>
      </c>
      <c r="J649" s="14"/>
      <c r="K649" s="14"/>
      <c r="L649" s="14"/>
      <c r="M649" s="14"/>
      <c r="N649" s="14"/>
      <c r="O649" s="14" t="s">
        <v>1279</v>
      </c>
      <c r="P649" s="14"/>
    </row>
    <row r="650" customFormat="false" ht="15" hidden="false" customHeight="false" outlineLevel="0" collapsed="false">
      <c r="A650" s="14" t="s">
        <v>2439</v>
      </c>
      <c r="B650" s="14" t="s">
        <v>2440</v>
      </c>
      <c r="C650" s="14"/>
      <c r="D650" s="14" t="s">
        <v>8</v>
      </c>
      <c r="E650" s="14" t="s">
        <v>2010</v>
      </c>
      <c r="F650" s="14"/>
      <c r="G650" s="14"/>
      <c r="H650" s="14" t="s">
        <v>1278</v>
      </c>
      <c r="I650" s="14" t="s">
        <v>1256</v>
      </c>
      <c r="J650" s="14"/>
      <c r="K650" s="14"/>
      <c r="L650" s="14"/>
      <c r="M650" s="14"/>
      <c r="N650" s="14"/>
      <c r="O650" s="14" t="s">
        <v>1279</v>
      </c>
      <c r="P650" s="14"/>
    </row>
    <row r="651" customFormat="false" ht="22.35" hidden="false" customHeight="false" outlineLevel="0" collapsed="false">
      <c r="A651" s="14" t="s">
        <v>2441</v>
      </c>
      <c r="B651" s="14" t="s">
        <v>2442</v>
      </c>
      <c r="C651" s="14"/>
      <c r="D651" s="14" t="s">
        <v>8</v>
      </c>
      <c r="E651" s="14" t="s">
        <v>2013</v>
      </c>
      <c r="F651" s="14"/>
      <c r="G651" s="14" t="s">
        <v>63</v>
      </c>
      <c r="H651" s="14" t="s">
        <v>1278</v>
      </c>
      <c r="I651" s="14" t="s">
        <v>1256</v>
      </c>
      <c r="J651" s="14"/>
      <c r="K651" s="14"/>
      <c r="L651" s="14"/>
      <c r="M651" s="14"/>
      <c r="N651" s="14"/>
      <c r="O651" s="14" t="s">
        <v>1279</v>
      </c>
      <c r="P651" s="14"/>
    </row>
    <row r="652" customFormat="false" ht="15" hidden="false" customHeight="false" outlineLevel="0" collapsed="false">
      <c r="A652" s="14" t="s">
        <v>2443</v>
      </c>
      <c r="B652" s="14" t="s">
        <v>2444</v>
      </c>
      <c r="C652" s="14"/>
      <c r="D652" s="14" t="s">
        <v>8</v>
      </c>
      <c r="E652" s="14" t="s">
        <v>2010</v>
      </c>
      <c r="F652" s="14"/>
      <c r="G652" s="14"/>
      <c r="H652" s="14" t="s">
        <v>1278</v>
      </c>
      <c r="I652" s="14" t="s">
        <v>1256</v>
      </c>
      <c r="J652" s="14"/>
      <c r="K652" s="14"/>
      <c r="L652" s="14"/>
      <c r="M652" s="14"/>
      <c r="N652" s="14"/>
      <c r="O652" s="14" t="s">
        <v>1279</v>
      </c>
      <c r="P652" s="14"/>
    </row>
    <row r="653" customFormat="false" ht="53.7" hidden="false" customHeight="false" outlineLevel="0" collapsed="false">
      <c r="A653" s="14" t="s">
        <v>2445</v>
      </c>
      <c r="B653" s="14" t="s">
        <v>2446</v>
      </c>
      <c r="C653" s="14"/>
      <c r="D653" s="14" t="s">
        <v>8</v>
      </c>
      <c r="E653" s="14" t="s">
        <v>2013</v>
      </c>
      <c r="F653" s="14"/>
      <c r="G653" s="14" t="s">
        <v>2447</v>
      </c>
      <c r="H653" s="14" t="s">
        <v>1278</v>
      </c>
      <c r="I653" s="14" t="s">
        <v>2026</v>
      </c>
      <c r="J653" s="14"/>
      <c r="K653" s="14"/>
      <c r="L653" s="14"/>
      <c r="M653" s="14"/>
      <c r="N653" s="14"/>
      <c r="O653" s="14" t="s">
        <v>1279</v>
      </c>
      <c r="P653" s="14"/>
    </row>
    <row r="654" customFormat="false" ht="22.35" hidden="false" customHeight="false" outlineLevel="0" collapsed="false">
      <c r="A654" s="14" t="s">
        <v>2448</v>
      </c>
      <c r="B654" s="14" t="s">
        <v>2449</v>
      </c>
      <c r="C654" s="14"/>
      <c r="D654" s="14" t="s">
        <v>8</v>
      </c>
      <c r="E654" s="14" t="s">
        <v>2013</v>
      </c>
      <c r="F654" s="14"/>
      <c r="G654" s="14" t="s">
        <v>63</v>
      </c>
      <c r="H654" s="14" t="s">
        <v>1278</v>
      </c>
      <c r="I654" s="14" t="s">
        <v>1256</v>
      </c>
      <c r="J654" s="14"/>
      <c r="K654" s="14"/>
      <c r="L654" s="14"/>
      <c r="M654" s="14"/>
      <c r="N654" s="14"/>
      <c r="O654" s="14" t="s">
        <v>1279</v>
      </c>
      <c r="P654" s="14"/>
    </row>
    <row r="655" customFormat="false" ht="22.35" hidden="false" customHeight="false" outlineLevel="0" collapsed="false">
      <c r="A655" s="14" t="s">
        <v>2450</v>
      </c>
      <c r="B655" s="14" t="s">
        <v>2451</v>
      </c>
      <c r="C655" s="14"/>
      <c r="D655" s="14" t="s">
        <v>8</v>
      </c>
      <c r="E655" s="14" t="s">
        <v>2013</v>
      </c>
      <c r="F655" s="14"/>
      <c r="G655" s="14" t="s">
        <v>63</v>
      </c>
      <c r="H655" s="14" t="s">
        <v>1278</v>
      </c>
      <c r="I655" s="14" t="s">
        <v>1256</v>
      </c>
      <c r="J655" s="14"/>
      <c r="K655" s="14"/>
      <c r="L655" s="14"/>
      <c r="M655" s="14"/>
      <c r="N655" s="14"/>
      <c r="O655" s="14" t="s">
        <v>1279</v>
      </c>
      <c r="P655" s="14"/>
    </row>
    <row r="656" customFormat="false" ht="15" hidden="false" customHeight="false" outlineLevel="0" collapsed="false">
      <c r="A656" s="14" t="s">
        <v>2452</v>
      </c>
      <c r="B656" s="14" t="s">
        <v>2453</v>
      </c>
      <c r="C656" s="14"/>
      <c r="D656" s="14" t="s">
        <v>8</v>
      </c>
      <c r="E656" s="14" t="s">
        <v>2054</v>
      </c>
      <c r="F656" s="14"/>
      <c r="G656" s="14"/>
      <c r="H656" s="14" t="s">
        <v>1278</v>
      </c>
      <c r="I656" s="14" t="s">
        <v>1256</v>
      </c>
      <c r="J656" s="14"/>
      <c r="K656" s="14"/>
      <c r="L656" s="14"/>
      <c r="M656" s="14"/>
      <c r="N656" s="14"/>
      <c r="O656" s="14" t="s">
        <v>1279</v>
      </c>
      <c r="P656" s="14"/>
    </row>
    <row r="657" customFormat="false" ht="22.35" hidden="false" customHeight="false" outlineLevel="0" collapsed="false">
      <c r="A657" s="14" t="s">
        <v>2454</v>
      </c>
      <c r="B657" s="14" t="s">
        <v>2455</v>
      </c>
      <c r="C657" s="14" t="s">
        <v>2456</v>
      </c>
      <c r="D657" s="14" t="s">
        <v>8</v>
      </c>
      <c r="E657" s="14" t="s">
        <v>2013</v>
      </c>
      <c r="F657" s="14" t="s">
        <v>135</v>
      </c>
      <c r="G657" s="14" t="s">
        <v>63</v>
      </c>
      <c r="H657" s="14" t="s">
        <v>1278</v>
      </c>
      <c r="I657" s="14" t="s">
        <v>1256</v>
      </c>
      <c r="J657" s="14"/>
      <c r="K657" s="14"/>
      <c r="L657" s="14"/>
      <c r="M657" s="14"/>
      <c r="N657" s="14"/>
      <c r="O657" s="14" t="s">
        <v>1279</v>
      </c>
      <c r="P657" s="14"/>
    </row>
    <row r="658" customFormat="false" ht="15" hidden="false" customHeight="false" outlineLevel="0" collapsed="false">
      <c r="A658" s="14" t="s">
        <v>2457</v>
      </c>
      <c r="B658" s="14" t="s">
        <v>2458</v>
      </c>
      <c r="C658" s="14"/>
      <c r="D658" s="14" t="s">
        <v>8</v>
      </c>
      <c r="E658" s="14" t="s">
        <v>2054</v>
      </c>
      <c r="F658" s="14"/>
      <c r="G658" s="14" t="s">
        <v>63</v>
      </c>
      <c r="H658" s="14" t="s">
        <v>1278</v>
      </c>
      <c r="I658" s="14" t="s">
        <v>1256</v>
      </c>
      <c r="J658" s="14"/>
      <c r="K658" s="14"/>
      <c r="L658" s="14"/>
      <c r="M658" s="14"/>
      <c r="N658" s="14"/>
      <c r="O658" s="14" t="s">
        <v>1279</v>
      </c>
      <c r="P658" s="14"/>
    </row>
    <row r="659" customFormat="false" ht="15" hidden="false" customHeight="false" outlineLevel="0" collapsed="false">
      <c r="A659" s="14" t="s">
        <v>2459</v>
      </c>
      <c r="B659" s="14" t="s">
        <v>2460</v>
      </c>
      <c r="C659" s="14"/>
      <c r="D659" s="14" t="s">
        <v>8</v>
      </c>
      <c r="E659" s="14" t="s">
        <v>2054</v>
      </c>
      <c r="F659" s="14"/>
      <c r="G659" s="14"/>
      <c r="H659" s="14" t="s">
        <v>1278</v>
      </c>
      <c r="I659" s="14" t="s">
        <v>1291</v>
      </c>
      <c r="J659" s="14"/>
      <c r="K659" s="14"/>
      <c r="L659" s="14"/>
      <c r="M659" s="14"/>
      <c r="N659" s="14"/>
      <c r="O659" s="14" t="s">
        <v>1279</v>
      </c>
      <c r="P659" s="14"/>
    </row>
    <row r="660" customFormat="false" ht="22.35" hidden="false" customHeight="false" outlineLevel="0" collapsed="false">
      <c r="A660" s="14" t="s">
        <v>2461</v>
      </c>
      <c r="B660" s="14" t="s">
        <v>2462</v>
      </c>
      <c r="C660" s="14"/>
      <c r="D660" s="14" t="s">
        <v>8</v>
      </c>
      <c r="E660" s="14" t="s">
        <v>2013</v>
      </c>
      <c r="F660" s="14"/>
      <c r="G660" s="14" t="s">
        <v>63</v>
      </c>
      <c r="H660" s="14" t="s">
        <v>1278</v>
      </c>
      <c r="I660" s="14" t="s">
        <v>1256</v>
      </c>
      <c r="J660" s="14"/>
      <c r="K660" s="14"/>
      <c r="L660" s="14"/>
      <c r="M660" s="14"/>
      <c r="N660" s="14"/>
      <c r="O660" s="14" t="s">
        <v>1279</v>
      </c>
      <c r="P660" s="14"/>
    </row>
    <row r="661" customFormat="false" ht="15" hidden="false" customHeight="false" outlineLevel="0" collapsed="false">
      <c r="A661" s="14" t="s">
        <v>2463</v>
      </c>
      <c r="B661" s="14" t="s">
        <v>2464</v>
      </c>
      <c r="C661" s="14"/>
      <c r="D661" s="14" t="s">
        <v>8</v>
      </c>
      <c r="E661" s="14" t="s">
        <v>2010</v>
      </c>
      <c r="F661" s="14"/>
      <c r="G661" s="14"/>
      <c r="H661" s="14" t="s">
        <v>1278</v>
      </c>
      <c r="I661" s="14" t="s">
        <v>1256</v>
      </c>
      <c r="J661" s="14"/>
      <c r="K661" s="14"/>
      <c r="L661" s="14"/>
      <c r="M661" s="14"/>
      <c r="N661" s="14"/>
      <c r="O661" s="14" t="s">
        <v>1279</v>
      </c>
      <c r="P661" s="14"/>
    </row>
    <row r="662" customFormat="false" ht="22.35" hidden="false" customHeight="false" outlineLevel="0" collapsed="false">
      <c r="A662" s="14" t="s">
        <v>2465</v>
      </c>
      <c r="B662" s="14" t="s">
        <v>2466</v>
      </c>
      <c r="C662" s="14"/>
      <c r="D662" s="14" t="s">
        <v>8</v>
      </c>
      <c r="E662" s="14" t="s">
        <v>2013</v>
      </c>
      <c r="F662" s="14"/>
      <c r="G662" s="14" t="s">
        <v>63</v>
      </c>
      <c r="H662" s="14" t="s">
        <v>1278</v>
      </c>
      <c r="I662" s="14" t="s">
        <v>1256</v>
      </c>
      <c r="J662" s="14"/>
      <c r="K662" s="14"/>
      <c r="L662" s="14"/>
      <c r="M662" s="14"/>
      <c r="N662" s="14"/>
      <c r="O662" s="14" t="s">
        <v>1279</v>
      </c>
      <c r="P662" s="14"/>
    </row>
    <row r="663" customFormat="false" ht="15" hidden="false" customHeight="false" outlineLevel="0" collapsed="false">
      <c r="A663" s="14" t="s">
        <v>2467</v>
      </c>
      <c r="B663" s="14" t="s">
        <v>2468</v>
      </c>
      <c r="C663" s="14"/>
      <c r="D663" s="14" t="s">
        <v>8</v>
      </c>
      <c r="E663" s="14" t="s">
        <v>2010</v>
      </c>
      <c r="F663" s="14"/>
      <c r="G663" s="14"/>
      <c r="H663" s="14" t="s">
        <v>1278</v>
      </c>
      <c r="I663" s="14" t="s">
        <v>1256</v>
      </c>
      <c r="J663" s="14"/>
      <c r="K663" s="14"/>
      <c r="L663" s="14"/>
      <c r="M663" s="14"/>
      <c r="N663" s="14"/>
      <c r="O663" s="14" t="s">
        <v>1279</v>
      </c>
      <c r="P663" s="14"/>
    </row>
    <row r="664" customFormat="false" ht="22.35" hidden="false" customHeight="false" outlineLevel="0" collapsed="false">
      <c r="A664" s="14" t="s">
        <v>2469</v>
      </c>
      <c r="B664" s="14" t="s">
        <v>2470</v>
      </c>
      <c r="C664" s="14"/>
      <c r="D664" s="14" t="s">
        <v>8</v>
      </c>
      <c r="E664" s="14" t="s">
        <v>2013</v>
      </c>
      <c r="F664" s="14"/>
      <c r="G664" s="14" t="s">
        <v>63</v>
      </c>
      <c r="H664" s="14" t="s">
        <v>1278</v>
      </c>
      <c r="I664" s="14" t="s">
        <v>1256</v>
      </c>
      <c r="J664" s="14"/>
      <c r="K664" s="14"/>
      <c r="L664" s="14"/>
      <c r="M664" s="14"/>
      <c r="N664" s="14"/>
      <c r="O664" s="14" t="s">
        <v>1279</v>
      </c>
      <c r="P664" s="14"/>
    </row>
    <row r="665" customFormat="false" ht="22.35" hidden="false" customHeight="false" outlineLevel="0" collapsed="false">
      <c r="A665" s="14" t="s">
        <v>2471</v>
      </c>
      <c r="B665" s="14" t="s">
        <v>2472</v>
      </c>
      <c r="C665" s="14"/>
      <c r="D665" s="14" t="s">
        <v>8</v>
      </c>
      <c r="E665" s="14" t="s">
        <v>2013</v>
      </c>
      <c r="F665" s="14"/>
      <c r="G665" s="14" t="s">
        <v>63</v>
      </c>
      <c r="H665" s="14" t="s">
        <v>1278</v>
      </c>
      <c r="I665" s="14" t="s">
        <v>1256</v>
      </c>
      <c r="J665" s="14"/>
      <c r="K665" s="14"/>
      <c r="L665" s="14"/>
      <c r="M665" s="14"/>
      <c r="N665" s="14"/>
      <c r="O665" s="14" t="s">
        <v>1279</v>
      </c>
      <c r="P665" s="14"/>
    </row>
    <row r="666" customFormat="false" ht="32.8" hidden="false" customHeight="false" outlineLevel="0" collapsed="false">
      <c r="A666" s="14" t="s">
        <v>2473</v>
      </c>
      <c r="B666" s="14" t="s">
        <v>2474</v>
      </c>
      <c r="C666" s="14"/>
      <c r="D666" s="14" t="s">
        <v>8</v>
      </c>
      <c r="E666" s="14" t="s">
        <v>2010</v>
      </c>
      <c r="F666" s="14"/>
      <c r="G666" s="14" t="s">
        <v>2475</v>
      </c>
      <c r="H666" s="14" t="s">
        <v>1278</v>
      </c>
      <c r="I666" s="14" t="s">
        <v>2026</v>
      </c>
      <c r="J666" s="14"/>
      <c r="K666" s="14"/>
      <c r="L666" s="14"/>
      <c r="M666" s="14"/>
      <c r="N666" s="14"/>
      <c r="O666" s="14" t="s">
        <v>1279</v>
      </c>
      <c r="P666" s="14"/>
    </row>
    <row r="667" customFormat="false" ht="22.35" hidden="false" customHeight="false" outlineLevel="0" collapsed="false">
      <c r="A667" s="14" t="s">
        <v>2476</v>
      </c>
      <c r="B667" s="14" t="s">
        <v>2477</v>
      </c>
      <c r="C667" s="14" t="s">
        <v>820</v>
      </c>
      <c r="D667" s="14" t="s">
        <v>8</v>
      </c>
      <c r="E667" s="14" t="s">
        <v>2013</v>
      </c>
      <c r="F667" s="14" t="s">
        <v>62</v>
      </c>
      <c r="G667" s="14" t="s">
        <v>63</v>
      </c>
      <c r="H667" s="14" t="s">
        <v>1278</v>
      </c>
      <c r="I667" s="14" t="s">
        <v>1256</v>
      </c>
      <c r="J667" s="14"/>
      <c r="K667" s="14"/>
      <c r="L667" s="14"/>
      <c r="M667" s="14"/>
      <c r="N667" s="14"/>
      <c r="O667" s="14" t="s">
        <v>1279</v>
      </c>
      <c r="P667" s="14"/>
    </row>
    <row r="668" customFormat="false" ht="22.35" hidden="false" customHeight="false" outlineLevel="0" collapsed="false">
      <c r="A668" s="14" t="s">
        <v>2478</v>
      </c>
      <c r="B668" s="14" t="s">
        <v>2479</v>
      </c>
      <c r="C668" s="14" t="s">
        <v>820</v>
      </c>
      <c r="D668" s="14" t="s">
        <v>8</v>
      </c>
      <c r="E668" s="14" t="s">
        <v>2013</v>
      </c>
      <c r="F668" s="14" t="s">
        <v>147</v>
      </c>
      <c r="G668" s="14" t="s">
        <v>63</v>
      </c>
      <c r="H668" s="14" t="s">
        <v>1278</v>
      </c>
      <c r="I668" s="14" t="s">
        <v>1256</v>
      </c>
      <c r="J668" s="14"/>
      <c r="K668" s="14"/>
      <c r="L668" s="14"/>
      <c r="M668" s="14"/>
      <c r="N668" s="14"/>
      <c r="O668" s="14" t="s">
        <v>1279</v>
      </c>
      <c r="P668" s="14"/>
    </row>
    <row r="669" customFormat="false" ht="85.05" hidden="false" customHeight="false" outlineLevel="0" collapsed="false">
      <c r="A669" s="14" t="s">
        <v>2480</v>
      </c>
      <c r="B669" s="14" t="s">
        <v>2481</v>
      </c>
      <c r="C669" s="14"/>
      <c r="D669" s="14" t="s">
        <v>8</v>
      </c>
      <c r="E669" s="14" t="s">
        <v>2013</v>
      </c>
      <c r="F669" s="14"/>
      <c r="G669" s="14" t="s">
        <v>2482</v>
      </c>
      <c r="H669" s="14" t="s">
        <v>1278</v>
      </c>
      <c r="I669" s="14" t="s">
        <v>1256</v>
      </c>
      <c r="J669" s="14"/>
      <c r="K669" s="14"/>
      <c r="L669" s="14"/>
      <c r="M669" s="14"/>
      <c r="N669" s="14"/>
      <c r="O669" s="14" t="s">
        <v>1279</v>
      </c>
      <c r="P669" s="14"/>
    </row>
    <row r="670" customFormat="false" ht="43.25" hidden="false" customHeight="false" outlineLevel="0" collapsed="false">
      <c r="A670" s="14" t="s">
        <v>2483</v>
      </c>
      <c r="B670" s="14" t="s">
        <v>2484</v>
      </c>
      <c r="C670" s="14"/>
      <c r="D670" s="14" t="s">
        <v>8</v>
      </c>
      <c r="E670" s="14" t="s">
        <v>2010</v>
      </c>
      <c r="F670" s="14"/>
      <c r="G670" s="14" t="s">
        <v>2485</v>
      </c>
      <c r="H670" s="14" t="s">
        <v>1278</v>
      </c>
      <c r="I670" s="14" t="s">
        <v>1256</v>
      </c>
      <c r="J670" s="14"/>
      <c r="K670" s="14"/>
      <c r="L670" s="14"/>
      <c r="M670" s="14"/>
      <c r="N670" s="14"/>
      <c r="O670" s="14" t="s">
        <v>1279</v>
      </c>
      <c r="P670" s="14"/>
    </row>
    <row r="671" customFormat="false" ht="22.35" hidden="false" customHeight="false" outlineLevel="0" collapsed="false">
      <c r="A671" s="14" t="s">
        <v>2486</v>
      </c>
      <c r="B671" s="14" t="s">
        <v>2487</v>
      </c>
      <c r="C671" s="14"/>
      <c r="D671" s="14" t="s">
        <v>8</v>
      </c>
      <c r="E671" s="14" t="s">
        <v>2013</v>
      </c>
      <c r="F671" s="14"/>
      <c r="G671" s="14" t="s">
        <v>63</v>
      </c>
      <c r="H671" s="14" t="s">
        <v>1278</v>
      </c>
      <c r="I671" s="14" t="s">
        <v>1256</v>
      </c>
      <c r="J671" s="14"/>
      <c r="K671" s="14"/>
      <c r="L671" s="14"/>
      <c r="M671" s="14"/>
      <c r="N671" s="14"/>
      <c r="O671" s="14" t="s">
        <v>1279</v>
      </c>
      <c r="P671" s="14"/>
    </row>
    <row r="672" customFormat="false" ht="43.25" hidden="false" customHeight="false" outlineLevel="0" collapsed="false">
      <c r="A672" s="14" t="s">
        <v>2488</v>
      </c>
      <c r="B672" s="14" t="s">
        <v>2489</v>
      </c>
      <c r="C672" s="14"/>
      <c r="D672" s="14" t="s">
        <v>8</v>
      </c>
      <c r="E672" s="14" t="s">
        <v>2013</v>
      </c>
      <c r="F672" s="14"/>
      <c r="G672" s="14" t="s">
        <v>2490</v>
      </c>
      <c r="H672" s="14" t="s">
        <v>1278</v>
      </c>
      <c r="I672" s="14" t="s">
        <v>2026</v>
      </c>
      <c r="J672" s="14"/>
      <c r="K672" s="14"/>
      <c r="L672" s="14"/>
      <c r="M672" s="14"/>
      <c r="N672" s="14"/>
      <c r="O672" s="14" t="s">
        <v>1279</v>
      </c>
      <c r="P672" s="14"/>
    </row>
    <row r="673" customFormat="false" ht="15" hidden="false" customHeight="false" outlineLevel="0" collapsed="false">
      <c r="A673" s="14" t="s">
        <v>2491</v>
      </c>
      <c r="B673" s="14" t="s">
        <v>2492</v>
      </c>
      <c r="C673" s="14"/>
      <c r="D673" s="14" t="s">
        <v>8</v>
      </c>
      <c r="E673" s="14" t="s">
        <v>2054</v>
      </c>
      <c r="F673" s="14"/>
      <c r="G673" s="14" t="s">
        <v>77</v>
      </c>
      <c r="H673" s="14" t="s">
        <v>1278</v>
      </c>
      <c r="I673" s="14" t="s">
        <v>1291</v>
      </c>
      <c r="J673" s="14"/>
      <c r="K673" s="14"/>
      <c r="L673" s="14"/>
      <c r="M673" s="14"/>
      <c r="N673" s="14"/>
      <c r="O673" s="14" t="s">
        <v>1279</v>
      </c>
      <c r="P673" s="14"/>
    </row>
    <row r="674" customFormat="false" ht="15" hidden="false" customHeight="false" outlineLevel="0" collapsed="false">
      <c r="A674" s="14" t="s">
        <v>2493</v>
      </c>
      <c r="B674" s="14" t="s">
        <v>2494</v>
      </c>
      <c r="C674" s="14"/>
      <c r="D674" s="14" t="s">
        <v>8</v>
      </c>
      <c r="E674" s="14" t="s">
        <v>2010</v>
      </c>
      <c r="F674" s="14"/>
      <c r="G674" s="14" t="s">
        <v>63</v>
      </c>
      <c r="H674" s="14" t="s">
        <v>1278</v>
      </c>
      <c r="I674" s="14" t="s">
        <v>1256</v>
      </c>
      <c r="J674" s="14"/>
      <c r="K674" s="14"/>
      <c r="L674" s="14"/>
      <c r="M674" s="14"/>
      <c r="N674" s="14"/>
      <c r="O674" s="14" t="s">
        <v>1279</v>
      </c>
      <c r="P674" s="14"/>
    </row>
    <row r="675" customFormat="false" ht="22.35" hidden="false" customHeight="false" outlineLevel="0" collapsed="false">
      <c r="A675" s="14" t="s">
        <v>2495</v>
      </c>
      <c r="B675" s="14" t="s">
        <v>2496</v>
      </c>
      <c r="C675" s="14"/>
      <c r="D675" s="14" t="s">
        <v>8</v>
      </c>
      <c r="E675" s="14" t="s">
        <v>2013</v>
      </c>
      <c r="F675" s="14"/>
      <c r="G675" s="14" t="s">
        <v>63</v>
      </c>
      <c r="H675" s="14" t="s">
        <v>1278</v>
      </c>
      <c r="I675" s="14" t="s">
        <v>1256</v>
      </c>
      <c r="J675" s="14"/>
      <c r="K675" s="14"/>
      <c r="L675" s="14"/>
      <c r="M675" s="14"/>
      <c r="N675" s="14"/>
      <c r="O675" s="14" t="s">
        <v>1279</v>
      </c>
      <c r="P675" s="14"/>
    </row>
    <row r="676" customFormat="false" ht="43.25" hidden="false" customHeight="false" outlineLevel="0" collapsed="false">
      <c r="A676" s="14" t="s">
        <v>2497</v>
      </c>
      <c r="B676" s="14" t="s">
        <v>2498</v>
      </c>
      <c r="C676" s="14"/>
      <c r="D676" s="14" t="s">
        <v>8</v>
      </c>
      <c r="E676" s="14" t="s">
        <v>2013</v>
      </c>
      <c r="F676" s="14"/>
      <c r="G676" s="14" t="s">
        <v>2499</v>
      </c>
      <c r="H676" s="14" t="s">
        <v>1278</v>
      </c>
      <c r="I676" s="14" t="s">
        <v>2026</v>
      </c>
      <c r="J676" s="14"/>
      <c r="K676" s="14"/>
      <c r="L676" s="14"/>
      <c r="M676" s="14"/>
      <c r="N676" s="14"/>
      <c r="O676" s="14" t="s">
        <v>1279</v>
      </c>
      <c r="P676" s="14"/>
    </row>
    <row r="677" customFormat="false" ht="15" hidden="false" customHeight="false" outlineLevel="0" collapsed="false">
      <c r="A677" s="14" t="s">
        <v>2500</v>
      </c>
      <c r="B677" s="14" t="s">
        <v>2501</v>
      </c>
      <c r="C677" s="14"/>
      <c r="D677" s="14" t="s">
        <v>8</v>
      </c>
      <c r="E677" s="14" t="s">
        <v>2054</v>
      </c>
      <c r="F677" s="14"/>
      <c r="G677" s="14" t="s">
        <v>77</v>
      </c>
      <c r="H677" s="14" t="s">
        <v>1278</v>
      </c>
      <c r="I677" s="14" t="s">
        <v>1107</v>
      </c>
      <c r="J677" s="14"/>
      <c r="K677" s="14"/>
      <c r="L677" s="14"/>
      <c r="M677" s="14"/>
      <c r="N677" s="14"/>
      <c r="O677" s="14" t="s">
        <v>1279</v>
      </c>
      <c r="P677" s="14"/>
    </row>
    <row r="678" customFormat="false" ht="22.35" hidden="false" customHeight="false" outlineLevel="0" collapsed="false">
      <c r="A678" s="14" t="s">
        <v>2502</v>
      </c>
      <c r="B678" s="14" t="s">
        <v>2503</v>
      </c>
      <c r="C678" s="14"/>
      <c r="D678" s="14" t="s">
        <v>8</v>
      </c>
      <c r="E678" s="14" t="s">
        <v>2013</v>
      </c>
      <c r="F678" s="14"/>
      <c r="G678" s="14" t="s">
        <v>63</v>
      </c>
      <c r="H678" s="14" t="s">
        <v>1278</v>
      </c>
      <c r="I678" s="14" t="s">
        <v>1256</v>
      </c>
      <c r="J678" s="14"/>
      <c r="K678" s="14"/>
      <c r="L678" s="14"/>
      <c r="M678" s="14"/>
      <c r="N678" s="14"/>
      <c r="O678" s="14" t="s">
        <v>1279</v>
      </c>
      <c r="P678" s="14"/>
    </row>
    <row r="679" customFormat="false" ht="15" hidden="false" customHeight="false" outlineLevel="0" collapsed="false">
      <c r="A679" s="14" t="s">
        <v>2504</v>
      </c>
      <c r="B679" s="14" t="s">
        <v>2505</v>
      </c>
      <c r="C679" s="14"/>
      <c r="D679" s="14" t="s">
        <v>8</v>
      </c>
      <c r="E679" s="14" t="s">
        <v>2010</v>
      </c>
      <c r="F679" s="14"/>
      <c r="G679" s="14"/>
      <c r="H679" s="14" t="s">
        <v>1278</v>
      </c>
      <c r="I679" s="14" t="s">
        <v>1291</v>
      </c>
      <c r="J679" s="14"/>
      <c r="K679" s="14"/>
      <c r="L679" s="14"/>
      <c r="M679" s="14"/>
      <c r="N679" s="14"/>
      <c r="O679" s="14" t="s">
        <v>1279</v>
      </c>
      <c r="P679" s="14"/>
    </row>
    <row r="680" customFormat="false" ht="74.6" hidden="false" customHeight="false" outlineLevel="0" collapsed="false">
      <c r="A680" s="14" t="s">
        <v>2506</v>
      </c>
      <c r="B680" s="14" t="s">
        <v>2507</v>
      </c>
      <c r="C680" s="14"/>
      <c r="D680" s="14" t="s">
        <v>8</v>
      </c>
      <c r="E680" s="14" t="s">
        <v>2010</v>
      </c>
      <c r="F680" s="14"/>
      <c r="G680" s="14" t="s">
        <v>2508</v>
      </c>
      <c r="H680" s="14" t="s">
        <v>1278</v>
      </c>
      <c r="I680" s="14" t="s">
        <v>2026</v>
      </c>
      <c r="J680" s="14"/>
      <c r="K680" s="14"/>
      <c r="L680" s="14"/>
      <c r="M680" s="14"/>
      <c r="N680" s="14"/>
      <c r="O680" s="14" t="s">
        <v>1279</v>
      </c>
      <c r="P680" s="14"/>
    </row>
    <row r="681" customFormat="false" ht="15" hidden="false" customHeight="false" outlineLevel="0" collapsed="false">
      <c r="A681" s="14" t="s">
        <v>2509</v>
      </c>
      <c r="B681" s="14" t="s">
        <v>2510</v>
      </c>
      <c r="C681" s="14"/>
      <c r="D681" s="14" t="s">
        <v>8</v>
      </c>
      <c r="E681" s="14" t="s">
        <v>2010</v>
      </c>
      <c r="F681" s="14"/>
      <c r="G681" s="14"/>
      <c r="H681" s="14" t="s">
        <v>1278</v>
      </c>
      <c r="I681" s="14" t="s">
        <v>1291</v>
      </c>
      <c r="J681" s="14"/>
      <c r="K681" s="14"/>
      <c r="L681" s="14"/>
      <c r="M681" s="14"/>
      <c r="N681" s="14"/>
      <c r="O681" s="14" t="s">
        <v>1279</v>
      </c>
      <c r="P681" s="14"/>
    </row>
    <row r="682" customFormat="false" ht="15" hidden="false" customHeight="false" outlineLevel="0" collapsed="false">
      <c r="A682" s="14" t="s">
        <v>2511</v>
      </c>
      <c r="B682" s="14" t="s">
        <v>2512</v>
      </c>
      <c r="C682" s="14"/>
      <c r="D682" s="14" t="s">
        <v>8</v>
      </c>
      <c r="E682" s="14" t="s">
        <v>2010</v>
      </c>
      <c r="F682" s="14"/>
      <c r="G682" s="14"/>
      <c r="H682" s="14" t="s">
        <v>1278</v>
      </c>
      <c r="I682" s="14" t="s">
        <v>1256</v>
      </c>
      <c r="J682" s="14"/>
      <c r="K682" s="14"/>
      <c r="L682" s="14"/>
      <c r="M682" s="14"/>
      <c r="N682" s="14"/>
      <c r="O682" s="14" t="s">
        <v>1279</v>
      </c>
      <c r="P682" s="14"/>
    </row>
    <row r="683" customFormat="false" ht="22.35" hidden="false" customHeight="false" outlineLevel="0" collapsed="false">
      <c r="A683" s="14" t="s">
        <v>2513</v>
      </c>
      <c r="B683" s="14" t="s">
        <v>2514</v>
      </c>
      <c r="C683" s="14"/>
      <c r="D683" s="14" t="s">
        <v>8</v>
      </c>
      <c r="E683" s="14" t="s">
        <v>2013</v>
      </c>
      <c r="F683" s="14"/>
      <c r="G683" s="14" t="s">
        <v>63</v>
      </c>
      <c r="H683" s="14" t="s">
        <v>1278</v>
      </c>
      <c r="I683" s="14" t="s">
        <v>1256</v>
      </c>
      <c r="J683" s="14"/>
      <c r="K683" s="14"/>
      <c r="L683" s="14"/>
      <c r="M683" s="14"/>
      <c r="N683" s="14"/>
      <c r="O683" s="14" t="s">
        <v>1279</v>
      </c>
      <c r="P683" s="14"/>
    </row>
    <row r="684" customFormat="false" ht="15" hidden="false" customHeight="false" outlineLevel="0" collapsed="false">
      <c r="A684" s="14" t="s">
        <v>2515</v>
      </c>
      <c r="B684" s="14" t="s">
        <v>2516</v>
      </c>
      <c r="C684" s="14"/>
      <c r="D684" s="14" t="s">
        <v>8</v>
      </c>
      <c r="E684" s="14" t="s">
        <v>2010</v>
      </c>
      <c r="F684" s="14"/>
      <c r="G684" s="14"/>
      <c r="H684" s="14" t="s">
        <v>1278</v>
      </c>
      <c r="I684" s="14" t="s">
        <v>1256</v>
      </c>
      <c r="J684" s="14"/>
      <c r="K684" s="14"/>
      <c r="L684" s="14"/>
      <c r="M684" s="14"/>
      <c r="N684" s="14"/>
      <c r="O684" s="14" t="s">
        <v>1279</v>
      </c>
      <c r="P684" s="14"/>
    </row>
    <row r="685" customFormat="false" ht="22.35" hidden="false" customHeight="false" outlineLevel="0" collapsed="false">
      <c r="A685" s="14" t="s">
        <v>2517</v>
      </c>
      <c r="B685" s="14" t="s">
        <v>2518</v>
      </c>
      <c r="C685" s="14"/>
      <c r="D685" s="14" t="s">
        <v>8</v>
      </c>
      <c r="E685" s="14" t="s">
        <v>2013</v>
      </c>
      <c r="F685" s="14"/>
      <c r="G685" s="14" t="s">
        <v>63</v>
      </c>
      <c r="H685" s="14" t="s">
        <v>1278</v>
      </c>
      <c r="I685" s="14" t="s">
        <v>1256</v>
      </c>
      <c r="J685" s="14"/>
      <c r="K685" s="14"/>
      <c r="L685" s="14"/>
      <c r="M685" s="14"/>
      <c r="N685" s="14"/>
      <c r="O685" s="14" t="s">
        <v>1279</v>
      </c>
      <c r="P685" s="14"/>
    </row>
    <row r="686" customFormat="false" ht="64.15" hidden="false" customHeight="false" outlineLevel="0" collapsed="false">
      <c r="A686" s="14" t="s">
        <v>2519</v>
      </c>
      <c r="B686" s="14" t="s">
        <v>2520</v>
      </c>
      <c r="C686" s="14"/>
      <c r="D686" s="14" t="s">
        <v>8</v>
      </c>
      <c r="E686" s="14" t="s">
        <v>2010</v>
      </c>
      <c r="F686" s="14"/>
      <c r="G686" s="14" t="s">
        <v>2521</v>
      </c>
      <c r="H686" s="14" t="s">
        <v>1278</v>
      </c>
      <c r="I686" s="14" t="s">
        <v>2026</v>
      </c>
      <c r="J686" s="14"/>
      <c r="K686" s="14"/>
      <c r="L686" s="14"/>
      <c r="M686" s="14"/>
      <c r="N686" s="14"/>
      <c r="O686" s="14" t="s">
        <v>1279</v>
      </c>
      <c r="P686" s="14"/>
    </row>
    <row r="687" customFormat="false" ht="22.35" hidden="false" customHeight="false" outlineLevel="0" collapsed="false">
      <c r="A687" s="14" t="s">
        <v>2522</v>
      </c>
      <c r="B687" s="14" t="s">
        <v>2523</v>
      </c>
      <c r="C687" s="14"/>
      <c r="D687" s="14" t="s">
        <v>8</v>
      </c>
      <c r="E687" s="14" t="s">
        <v>2013</v>
      </c>
      <c r="F687" s="14"/>
      <c r="G687" s="14" t="s">
        <v>2524</v>
      </c>
      <c r="H687" s="14" t="s">
        <v>1278</v>
      </c>
      <c r="I687" s="14" t="s">
        <v>2026</v>
      </c>
      <c r="J687" s="14"/>
      <c r="K687" s="14"/>
      <c r="L687" s="14"/>
      <c r="M687" s="14"/>
      <c r="N687" s="14"/>
      <c r="O687" s="14" t="s">
        <v>1279</v>
      </c>
      <c r="P687" s="14"/>
    </row>
    <row r="688" customFormat="false" ht="22.35" hidden="false" customHeight="false" outlineLevel="0" collapsed="false">
      <c r="A688" s="14" t="s">
        <v>2525</v>
      </c>
      <c r="B688" s="14" t="s">
        <v>2526</v>
      </c>
      <c r="C688" s="14"/>
      <c r="D688" s="14" t="s">
        <v>8</v>
      </c>
      <c r="E688" s="14" t="s">
        <v>2013</v>
      </c>
      <c r="F688" s="14"/>
      <c r="G688" s="14" t="s">
        <v>63</v>
      </c>
      <c r="H688" s="14" t="s">
        <v>1278</v>
      </c>
      <c r="I688" s="14" t="s">
        <v>1256</v>
      </c>
      <c r="J688" s="14"/>
      <c r="K688" s="14"/>
      <c r="L688" s="14"/>
      <c r="M688" s="14"/>
      <c r="N688" s="14"/>
      <c r="O688" s="14" t="s">
        <v>1279</v>
      </c>
      <c r="P688" s="14"/>
    </row>
    <row r="689" customFormat="false" ht="22.35" hidden="false" customHeight="false" outlineLevel="0" collapsed="false">
      <c r="A689" s="14" t="s">
        <v>2527</v>
      </c>
      <c r="B689" s="14" t="s">
        <v>2528</v>
      </c>
      <c r="C689" s="14" t="s">
        <v>2529</v>
      </c>
      <c r="D689" s="14" t="s">
        <v>8</v>
      </c>
      <c r="E689" s="14" t="s">
        <v>2013</v>
      </c>
      <c r="F689" s="14" t="s">
        <v>579</v>
      </c>
      <c r="G689" s="14" t="s">
        <v>63</v>
      </c>
      <c r="H689" s="14" t="s">
        <v>1278</v>
      </c>
      <c r="I689" s="14" t="s">
        <v>1256</v>
      </c>
      <c r="J689" s="14"/>
      <c r="K689" s="14"/>
      <c r="L689" s="14"/>
      <c r="M689" s="14"/>
      <c r="N689" s="14"/>
      <c r="O689" s="14" t="s">
        <v>1279</v>
      </c>
      <c r="P689" s="14"/>
    </row>
    <row r="690" customFormat="false" ht="22.35" hidden="false" customHeight="false" outlineLevel="0" collapsed="false">
      <c r="A690" s="14" t="s">
        <v>2530</v>
      </c>
      <c r="B690" s="14" t="s">
        <v>2531</v>
      </c>
      <c r="C690" s="14"/>
      <c r="D690" s="14" t="s">
        <v>8</v>
      </c>
      <c r="E690" s="14" t="s">
        <v>2013</v>
      </c>
      <c r="F690" s="14"/>
      <c r="G690" s="14" t="s">
        <v>63</v>
      </c>
      <c r="H690" s="14" t="s">
        <v>1278</v>
      </c>
      <c r="I690" s="14" t="s">
        <v>1256</v>
      </c>
      <c r="J690" s="14"/>
      <c r="K690" s="14"/>
      <c r="L690" s="14"/>
      <c r="M690" s="14"/>
      <c r="N690" s="14"/>
      <c r="O690" s="14" t="s">
        <v>1279</v>
      </c>
      <c r="P690" s="14"/>
    </row>
    <row r="691" customFormat="false" ht="22.35" hidden="false" customHeight="false" outlineLevel="0" collapsed="false">
      <c r="A691" s="14" t="s">
        <v>2532</v>
      </c>
      <c r="B691" s="14" t="s">
        <v>2533</v>
      </c>
      <c r="C691" s="14"/>
      <c r="D691" s="14" t="s">
        <v>8</v>
      </c>
      <c r="E691" s="14" t="s">
        <v>2013</v>
      </c>
      <c r="F691" s="14"/>
      <c r="G691" s="14" t="s">
        <v>63</v>
      </c>
      <c r="H691" s="14" t="s">
        <v>1278</v>
      </c>
      <c r="I691" s="14" t="s">
        <v>1256</v>
      </c>
      <c r="J691" s="14"/>
      <c r="K691" s="14"/>
      <c r="L691" s="14"/>
      <c r="M691" s="14"/>
      <c r="N691" s="14"/>
      <c r="O691" s="14" t="s">
        <v>1279</v>
      </c>
      <c r="P691" s="14"/>
    </row>
    <row r="692" customFormat="false" ht="22.35" hidden="false" customHeight="false" outlineLevel="0" collapsed="false">
      <c r="A692" s="14" t="s">
        <v>2534</v>
      </c>
      <c r="B692" s="14" t="s">
        <v>2535</v>
      </c>
      <c r="C692" s="14"/>
      <c r="D692" s="14" t="s">
        <v>8</v>
      </c>
      <c r="E692" s="14" t="s">
        <v>2013</v>
      </c>
      <c r="F692" s="14"/>
      <c r="G692" s="14" t="s">
        <v>2536</v>
      </c>
      <c r="H692" s="14" t="s">
        <v>1278</v>
      </c>
      <c r="I692" s="14" t="s">
        <v>2026</v>
      </c>
      <c r="J692" s="14"/>
      <c r="K692" s="14"/>
      <c r="L692" s="14"/>
      <c r="M692" s="14"/>
      <c r="N692" s="14"/>
      <c r="O692" s="14" t="s">
        <v>1279</v>
      </c>
      <c r="P692" s="14"/>
    </row>
    <row r="693" customFormat="false" ht="15" hidden="false" customHeight="false" outlineLevel="0" collapsed="false">
      <c r="A693" s="14" t="s">
        <v>2537</v>
      </c>
      <c r="B693" s="14" t="s">
        <v>2538</v>
      </c>
      <c r="C693" s="14"/>
      <c r="D693" s="14" t="s">
        <v>8</v>
      </c>
      <c r="E693" s="14" t="s">
        <v>2054</v>
      </c>
      <c r="F693" s="14"/>
      <c r="G693" s="14" t="s">
        <v>77</v>
      </c>
      <c r="H693" s="14" t="s">
        <v>1278</v>
      </c>
      <c r="I693" s="14" t="s">
        <v>1256</v>
      </c>
      <c r="J693" s="14"/>
      <c r="K693" s="14"/>
      <c r="L693" s="14"/>
      <c r="M693" s="14"/>
      <c r="N693" s="14"/>
      <c r="O693" s="14" t="s">
        <v>1279</v>
      </c>
      <c r="P693" s="14"/>
    </row>
    <row r="694" customFormat="false" ht="22.35" hidden="false" customHeight="false" outlineLevel="0" collapsed="false">
      <c r="A694" s="14" t="s">
        <v>2539</v>
      </c>
      <c r="B694" s="14" t="s">
        <v>2540</v>
      </c>
      <c r="C694" s="14"/>
      <c r="D694" s="14" t="s">
        <v>8</v>
      </c>
      <c r="E694" s="14" t="s">
        <v>2013</v>
      </c>
      <c r="F694" s="14"/>
      <c r="G694" s="14" t="s">
        <v>63</v>
      </c>
      <c r="H694" s="14" t="s">
        <v>1278</v>
      </c>
      <c r="I694" s="14" t="s">
        <v>1256</v>
      </c>
      <c r="J694" s="14"/>
      <c r="K694" s="14"/>
      <c r="L694" s="14"/>
      <c r="M694" s="14"/>
      <c r="N694" s="14"/>
      <c r="O694" s="14" t="s">
        <v>1279</v>
      </c>
      <c r="P694" s="14"/>
    </row>
    <row r="695" customFormat="false" ht="22.35" hidden="false" customHeight="false" outlineLevel="0" collapsed="false">
      <c r="A695" s="14" t="s">
        <v>2541</v>
      </c>
      <c r="B695" s="14" t="s">
        <v>2542</v>
      </c>
      <c r="C695" s="14"/>
      <c r="D695" s="14" t="s">
        <v>8</v>
      </c>
      <c r="E695" s="14" t="s">
        <v>2013</v>
      </c>
      <c r="F695" s="14"/>
      <c r="G695" s="14" t="s">
        <v>63</v>
      </c>
      <c r="H695" s="14" t="s">
        <v>1278</v>
      </c>
      <c r="I695" s="14" t="s">
        <v>1256</v>
      </c>
      <c r="J695" s="14"/>
      <c r="K695" s="14"/>
      <c r="L695" s="14"/>
      <c r="M695" s="14"/>
      <c r="N695" s="14"/>
      <c r="O695" s="14" t="s">
        <v>1279</v>
      </c>
      <c r="P695" s="14"/>
    </row>
    <row r="696" customFormat="false" ht="22.35" hidden="false" customHeight="false" outlineLevel="0" collapsed="false">
      <c r="A696" s="14" t="s">
        <v>2543</v>
      </c>
      <c r="B696" s="14" t="s">
        <v>2544</v>
      </c>
      <c r="C696" s="14"/>
      <c r="D696" s="14" t="s">
        <v>8</v>
      </c>
      <c r="E696" s="14" t="s">
        <v>2013</v>
      </c>
      <c r="F696" s="14"/>
      <c r="G696" s="14" t="s">
        <v>63</v>
      </c>
      <c r="H696" s="14" t="s">
        <v>1278</v>
      </c>
      <c r="I696" s="14" t="s">
        <v>1256</v>
      </c>
      <c r="J696" s="14"/>
      <c r="K696" s="14"/>
      <c r="L696" s="14"/>
      <c r="M696" s="14"/>
      <c r="N696" s="14"/>
      <c r="O696" s="14" t="s">
        <v>1279</v>
      </c>
      <c r="P696" s="14"/>
    </row>
    <row r="697" customFormat="false" ht="15" hidden="false" customHeight="false" outlineLevel="0" collapsed="false">
      <c r="A697" s="14" t="s">
        <v>2545</v>
      </c>
      <c r="B697" s="14" t="s">
        <v>2546</v>
      </c>
      <c r="C697" s="14"/>
      <c r="D697" s="14" t="s">
        <v>8</v>
      </c>
      <c r="E697" s="14" t="s">
        <v>2010</v>
      </c>
      <c r="F697" s="14"/>
      <c r="G697" s="14"/>
      <c r="H697" s="14" t="s">
        <v>1278</v>
      </c>
      <c r="I697" s="14" t="s">
        <v>1256</v>
      </c>
      <c r="J697" s="14"/>
      <c r="K697" s="14"/>
      <c r="L697" s="14"/>
      <c r="M697" s="14"/>
      <c r="N697" s="14"/>
      <c r="O697" s="14" t="s">
        <v>1279</v>
      </c>
      <c r="P697" s="14"/>
    </row>
    <row r="698" customFormat="false" ht="22.35" hidden="false" customHeight="false" outlineLevel="0" collapsed="false">
      <c r="A698" s="14" t="s">
        <v>2547</v>
      </c>
      <c r="B698" s="14" t="s">
        <v>2548</v>
      </c>
      <c r="C698" s="14" t="s">
        <v>2549</v>
      </c>
      <c r="D698" s="14" t="s">
        <v>8</v>
      </c>
      <c r="E698" s="14" t="s">
        <v>2013</v>
      </c>
      <c r="F698" s="14" t="s">
        <v>215</v>
      </c>
      <c r="G698" s="14" t="s">
        <v>2550</v>
      </c>
      <c r="H698" s="14" t="s">
        <v>1278</v>
      </c>
      <c r="I698" s="14" t="s">
        <v>1256</v>
      </c>
      <c r="J698" s="14"/>
      <c r="K698" s="14"/>
      <c r="L698" s="14"/>
      <c r="M698" s="14"/>
      <c r="N698" s="14"/>
      <c r="O698" s="14" t="s">
        <v>1279</v>
      </c>
      <c r="P698" s="14"/>
    </row>
    <row r="699" customFormat="false" ht="15" hidden="false" customHeight="false" outlineLevel="0" collapsed="false">
      <c r="A699" s="14" t="s">
        <v>2551</v>
      </c>
      <c r="B699" s="14" t="s">
        <v>2552</v>
      </c>
      <c r="C699" s="14"/>
      <c r="D699" s="14" t="s">
        <v>8</v>
      </c>
      <c r="E699" s="14" t="s">
        <v>2054</v>
      </c>
      <c r="F699" s="14"/>
      <c r="G699" s="14" t="s">
        <v>77</v>
      </c>
      <c r="H699" s="14" t="s">
        <v>1278</v>
      </c>
      <c r="I699" s="14" t="s">
        <v>1256</v>
      </c>
      <c r="J699" s="14"/>
      <c r="K699" s="14"/>
      <c r="L699" s="14"/>
      <c r="M699" s="14"/>
      <c r="N699" s="14"/>
      <c r="O699" s="14" t="s">
        <v>1279</v>
      </c>
      <c r="P699" s="14"/>
    </row>
    <row r="700" customFormat="false" ht="15" hidden="false" customHeight="false" outlineLevel="0" collapsed="false">
      <c r="A700" s="14" t="s">
        <v>2553</v>
      </c>
      <c r="B700" s="14" t="s">
        <v>2554</v>
      </c>
      <c r="C700" s="14"/>
      <c r="D700" s="14" t="s">
        <v>8</v>
      </c>
      <c r="E700" s="14" t="s">
        <v>2054</v>
      </c>
      <c r="F700" s="14"/>
      <c r="G700" s="14" t="s">
        <v>77</v>
      </c>
      <c r="H700" s="14" t="s">
        <v>1278</v>
      </c>
      <c r="I700" s="14" t="s">
        <v>1256</v>
      </c>
      <c r="J700" s="14"/>
      <c r="K700" s="14"/>
      <c r="L700" s="14"/>
      <c r="M700" s="14"/>
      <c r="N700" s="14"/>
      <c r="O700" s="14" t="s">
        <v>1279</v>
      </c>
      <c r="P700" s="14"/>
    </row>
    <row r="701" customFormat="false" ht="15" hidden="false" customHeight="false" outlineLevel="0" collapsed="false">
      <c r="A701" s="14" t="s">
        <v>2555</v>
      </c>
      <c r="B701" s="14" t="s">
        <v>2556</v>
      </c>
      <c r="C701" s="14"/>
      <c r="D701" s="14" t="s">
        <v>8</v>
      </c>
      <c r="E701" s="14" t="s">
        <v>2010</v>
      </c>
      <c r="F701" s="14"/>
      <c r="G701" s="14"/>
      <c r="H701" s="14" t="s">
        <v>1278</v>
      </c>
      <c r="I701" s="14" t="s">
        <v>1256</v>
      </c>
      <c r="J701" s="14"/>
      <c r="K701" s="14"/>
      <c r="L701" s="14"/>
      <c r="M701" s="14"/>
      <c r="N701" s="14"/>
      <c r="O701" s="14" t="s">
        <v>1279</v>
      </c>
      <c r="P701" s="14"/>
    </row>
    <row r="702" customFormat="false" ht="22.35" hidden="false" customHeight="false" outlineLevel="0" collapsed="false">
      <c r="A702" s="14" t="s">
        <v>2557</v>
      </c>
      <c r="B702" s="14" t="s">
        <v>2558</v>
      </c>
      <c r="C702" s="14"/>
      <c r="D702" s="14" t="s">
        <v>8</v>
      </c>
      <c r="E702" s="14" t="s">
        <v>2013</v>
      </c>
      <c r="F702" s="14"/>
      <c r="G702" s="14" t="s">
        <v>2559</v>
      </c>
      <c r="H702" s="14" t="s">
        <v>1278</v>
      </c>
      <c r="I702" s="14" t="s">
        <v>1256</v>
      </c>
      <c r="J702" s="14"/>
      <c r="K702" s="14"/>
      <c r="L702" s="14"/>
      <c r="M702" s="14"/>
      <c r="N702" s="14"/>
      <c r="O702" s="14" t="s">
        <v>1279</v>
      </c>
      <c r="P702" s="14"/>
    </row>
    <row r="703" customFormat="false" ht="15" hidden="false" customHeight="false" outlineLevel="0" collapsed="false">
      <c r="A703" s="14" t="s">
        <v>2560</v>
      </c>
      <c r="B703" s="14" t="s">
        <v>2561</v>
      </c>
      <c r="C703" s="14"/>
      <c r="D703" s="14" t="s">
        <v>8</v>
      </c>
      <c r="E703" s="14" t="s">
        <v>2010</v>
      </c>
      <c r="F703" s="14"/>
      <c r="G703" s="14"/>
      <c r="H703" s="14" t="s">
        <v>1278</v>
      </c>
      <c r="I703" s="14" t="s">
        <v>1256</v>
      </c>
      <c r="J703" s="14"/>
      <c r="K703" s="14"/>
      <c r="L703" s="14"/>
      <c r="M703" s="14"/>
      <c r="N703" s="14"/>
      <c r="O703" s="14" t="s">
        <v>1279</v>
      </c>
      <c r="P703" s="14"/>
    </row>
    <row r="704" customFormat="false" ht="43.25" hidden="false" customHeight="false" outlineLevel="0" collapsed="false">
      <c r="A704" s="14" t="s">
        <v>2562</v>
      </c>
      <c r="B704" s="14" t="s">
        <v>2563</v>
      </c>
      <c r="C704" s="14"/>
      <c r="D704" s="14" t="s">
        <v>8</v>
      </c>
      <c r="E704" s="14" t="s">
        <v>2010</v>
      </c>
      <c r="F704" s="14"/>
      <c r="G704" s="14" t="s">
        <v>2564</v>
      </c>
      <c r="H704" s="14" t="s">
        <v>1278</v>
      </c>
      <c r="I704" s="14" t="s">
        <v>2026</v>
      </c>
      <c r="J704" s="14"/>
      <c r="K704" s="14"/>
      <c r="L704" s="14"/>
      <c r="M704" s="14"/>
      <c r="N704" s="14"/>
      <c r="O704" s="14" t="s">
        <v>1279</v>
      </c>
      <c r="P704" s="14"/>
    </row>
    <row r="705" customFormat="false" ht="43.25" hidden="false" customHeight="false" outlineLevel="0" collapsed="false">
      <c r="A705" s="14" t="s">
        <v>2565</v>
      </c>
      <c r="B705" s="14" t="s">
        <v>2566</v>
      </c>
      <c r="C705" s="14"/>
      <c r="D705" s="14" t="s">
        <v>8</v>
      </c>
      <c r="E705" s="14" t="s">
        <v>2013</v>
      </c>
      <c r="F705" s="14"/>
      <c r="G705" s="14" t="s">
        <v>2567</v>
      </c>
      <c r="H705" s="14" t="s">
        <v>1278</v>
      </c>
      <c r="I705" s="14" t="s">
        <v>1256</v>
      </c>
      <c r="J705" s="14"/>
      <c r="K705" s="14"/>
      <c r="L705" s="14"/>
      <c r="M705" s="14"/>
      <c r="N705" s="14"/>
      <c r="O705" s="14" t="s">
        <v>1279</v>
      </c>
      <c r="P705" s="14"/>
    </row>
    <row r="706" customFormat="false" ht="15" hidden="false" customHeight="false" outlineLevel="0" collapsed="false">
      <c r="A706" s="14" t="s">
        <v>2568</v>
      </c>
      <c r="B706" s="14" t="s">
        <v>2569</v>
      </c>
      <c r="C706" s="14"/>
      <c r="D706" s="14" t="s">
        <v>8</v>
      </c>
      <c r="E706" s="14" t="s">
        <v>2010</v>
      </c>
      <c r="F706" s="14"/>
      <c r="G706" s="14"/>
      <c r="H706" s="14" t="s">
        <v>1278</v>
      </c>
      <c r="I706" s="14" t="s">
        <v>1256</v>
      </c>
      <c r="J706" s="14"/>
      <c r="K706" s="14"/>
      <c r="L706" s="14"/>
      <c r="M706" s="14"/>
      <c r="N706" s="14"/>
      <c r="O706" s="14" t="s">
        <v>1279</v>
      </c>
      <c r="P706" s="14"/>
    </row>
    <row r="707" customFormat="false" ht="22.35" hidden="false" customHeight="false" outlineLevel="0" collapsed="false">
      <c r="A707" s="14" t="s">
        <v>2570</v>
      </c>
      <c r="B707" s="14" t="s">
        <v>2571</v>
      </c>
      <c r="C707" s="14"/>
      <c r="D707" s="14" t="s">
        <v>8</v>
      </c>
      <c r="E707" s="14" t="s">
        <v>2013</v>
      </c>
      <c r="F707" s="14"/>
      <c r="G707" s="14" t="s">
        <v>2572</v>
      </c>
      <c r="H707" s="14" t="s">
        <v>1278</v>
      </c>
      <c r="I707" s="14" t="s">
        <v>2026</v>
      </c>
      <c r="J707" s="14"/>
      <c r="K707" s="14"/>
      <c r="L707" s="14"/>
      <c r="M707" s="14"/>
      <c r="N707" s="14"/>
      <c r="O707" s="14" t="s">
        <v>1279</v>
      </c>
      <c r="P707" s="14"/>
    </row>
    <row r="708" customFormat="false" ht="22.35" hidden="false" customHeight="false" outlineLevel="0" collapsed="false">
      <c r="A708" s="14" t="s">
        <v>2573</v>
      </c>
      <c r="B708" s="14" t="s">
        <v>2574</v>
      </c>
      <c r="C708" s="14"/>
      <c r="D708" s="14" t="s">
        <v>8</v>
      </c>
      <c r="E708" s="14" t="s">
        <v>2013</v>
      </c>
      <c r="F708" s="14"/>
      <c r="G708" s="14" t="s">
        <v>63</v>
      </c>
      <c r="H708" s="14" t="s">
        <v>1278</v>
      </c>
      <c r="I708" s="14" t="s">
        <v>1256</v>
      </c>
      <c r="J708" s="14"/>
      <c r="K708" s="14"/>
      <c r="L708" s="14"/>
      <c r="M708" s="14"/>
      <c r="N708" s="14"/>
      <c r="O708" s="14" t="s">
        <v>1279</v>
      </c>
      <c r="P708" s="14"/>
    </row>
    <row r="709" customFormat="false" ht="22.35" hidden="false" customHeight="false" outlineLevel="0" collapsed="false">
      <c r="A709" s="14" t="s">
        <v>2575</v>
      </c>
      <c r="B709" s="14" t="s">
        <v>2576</v>
      </c>
      <c r="C709" s="14"/>
      <c r="D709" s="14" t="s">
        <v>8</v>
      </c>
      <c r="E709" s="14" t="s">
        <v>2013</v>
      </c>
      <c r="F709" s="14"/>
      <c r="G709" s="14" t="s">
        <v>63</v>
      </c>
      <c r="H709" s="14" t="s">
        <v>1278</v>
      </c>
      <c r="I709" s="14" t="s">
        <v>1256</v>
      </c>
      <c r="J709" s="14"/>
      <c r="K709" s="14"/>
      <c r="L709" s="14"/>
      <c r="M709" s="14"/>
      <c r="N709" s="14"/>
      <c r="O709" s="14" t="s">
        <v>1279</v>
      </c>
      <c r="P709" s="14"/>
    </row>
    <row r="710" customFormat="false" ht="22.35" hidden="false" customHeight="false" outlineLevel="0" collapsed="false">
      <c r="A710" s="14" t="s">
        <v>2577</v>
      </c>
      <c r="B710" s="14" t="s">
        <v>2578</v>
      </c>
      <c r="C710" s="14"/>
      <c r="D710" s="14" t="s">
        <v>8</v>
      </c>
      <c r="E710" s="14" t="s">
        <v>2013</v>
      </c>
      <c r="F710" s="14"/>
      <c r="G710" s="14" t="s">
        <v>63</v>
      </c>
      <c r="H710" s="14" t="s">
        <v>1278</v>
      </c>
      <c r="I710" s="14" t="s">
        <v>1256</v>
      </c>
      <c r="J710" s="14"/>
      <c r="K710" s="14"/>
      <c r="L710" s="14"/>
      <c r="M710" s="14"/>
      <c r="N710" s="14"/>
      <c r="O710" s="14" t="s">
        <v>1279</v>
      </c>
      <c r="P710" s="14"/>
    </row>
    <row r="711" customFormat="false" ht="15" hidden="false" customHeight="false" outlineLevel="0" collapsed="false">
      <c r="A711" s="14" t="s">
        <v>2579</v>
      </c>
      <c r="B711" s="14" t="s">
        <v>2580</v>
      </c>
      <c r="C711" s="14"/>
      <c r="D711" s="14" t="s">
        <v>8</v>
      </c>
      <c r="E711" s="14" t="s">
        <v>2010</v>
      </c>
      <c r="F711" s="14"/>
      <c r="G711" s="14"/>
      <c r="H711" s="14" t="s">
        <v>1278</v>
      </c>
      <c r="I711" s="14" t="s">
        <v>1256</v>
      </c>
      <c r="J711" s="14"/>
      <c r="K711" s="14"/>
      <c r="L711" s="14"/>
      <c r="M711" s="14"/>
      <c r="N711" s="14"/>
      <c r="O711" s="14" t="s">
        <v>1279</v>
      </c>
      <c r="P711" s="14"/>
    </row>
    <row r="712" customFormat="false" ht="22.35" hidden="false" customHeight="false" outlineLevel="0" collapsed="false">
      <c r="A712" s="14" t="s">
        <v>2581</v>
      </c>
      <c r="B712" s="14" t="s">
        <v>2582</v>
      </c>
      <c r="C712" s="14"/>
      <c r="D712" s="14" t="s">
        <v>8</v>
      </c>
      <c r="E712" s="14" t="s">
        <v>2013</v>
      </c>
      <c r="F712" s="14"/>
      <c r="G712" s="14" t="s">
        <v>63</v>
      </c>
      <c r="H712" s="14" t="s">
        <v>1278</v>
      </c>
      <c r="I712" s="14" t="s">
        <v>1256</v>
      </c>
      <c r="J712" s="14"/>
      <c r="K712" s="14"/>
      <c r="L712" s="14"/>
      <c r="M712" s="14"/>
      <c r="N712" s="14"/>
      <c r="O712" s="14" t="s">
        <v>1279</v>
      </c>
      <c r="P712" s="14"/>
    </row>
    <row r="713" customFormat="false" ht="22.35" hidden="false" customHeight="false" outlineLevel="0" collapsed="false">
      <c r="A713" s="14" t="s">
        <v>2583</v>
      </c>
      <c r="B713" s="14" t="s">
        <v>2584</v>
      </c>
      <c r="C713" s="14"/>
      <c r="D713" s="14" t="s">
        <v>8</v>
      </c>
      <c r="E713" s="14" t="s">
        <v>2013</v>
      </c>
      <c r="F713" s="14"/>
      <c r="G713" s="14" t="s">
        <v>63</v>
      </c>
      <c r="H713" s="14" t="s">
        <v>1278</v>
      </c>
      <c r="I713" s="14" t="s">
        <v>1256</v>
      </c>
      <c r="J713" s="14"/>
      <c r="K713" s="14"/>
      <c r="L713" s="14"/>
      <c r="M713" s="14"/>
      <c r="N713" s="14"/>
      <c r="O713" s="14" t="s">
        <v>1279</v>
      </c>
      <c r="P713" s="14"/>
    </row>
    <row r="714" customFormat="false" ht="74.6" hidden="false" customHeight="false" outlineLevel="0" collapsed="false">
      <c r="A714" s="14" t="s">
        <v>2585</v>
      </c>
      <c r="B714" s="14" t="s">
        <v>2586</v>
      </c>
      <c r="C714" s="14"/>
      <c r="D714" s="14" t="s">
        <v>8</v>
      </c>
      <c r="E714" s="14" t="s">
        <v>2013</v>
      </c>
      <c r="F714" s="14"/>
      <c r="G714" s="14" t="s">
        <v>2587</v>
      </c>
      <c r="H714" s="14" t="s">
        <v>1278</v>
      </c>
      <c r="I714" s="14" t="s">
        <v>1256</v>
      </c>
      <c r="J714" s="14"/>
      <c r="K714" s="14"/>
      <c r="L714" s="14"/>
      <c r="M714" s="14"/>
      <c r="N714" s="14"/>
      <c r="O714" s="14" t="s">
        <v>1279</v>
      </c>
      <c r="P714" s="14"/>
    </row>
    <row r="715" customFormat="false" ht="43.25" hidden="false" customHeight="false" outlineLevel="0" collapsed="false">
      <c r="A715" s="14" t="s">
        <v>2588</v>
      </c>
      <c r="B715" s="14" t="s">
        <v>2589</v>
      </c>
      <c r="C715" s="14"/>
      <c r="D715" s="14" t="s">
        <v>8</v>
      </c>
      <c r="E715" s="14" t="s">
        <v>2013</v>
      </c>
      <c r="F715" s="14"/>
      <c r="G715" s="14" t="s">
        <v>2590</v>
      </c>
      <c r="H715" s="14" t="s">
        <v>1278</v>
      </c>
      <c r="I715" s="14" t="s">
        <v>2026</v>
      </c>
      <c r="J715" s="14"/>
      <c r="K715" s="14"/>
      <c r="L715" s="14"/>
      <c r="M715" s="14"/>
      <c r="N715" s="14"/>
      <c r="O715" s="14" t="s">
        <v>1279</v>
      </c>
      <c r="P715" s="14"/>
    </row>
    <row r="716" customFormat="false" ht="15" hidden="false" customHeight="false" outlineLevel="0" collapsed="false">
      <c r="A716" s="14" t="s">
        <v>2591</v>
      </c>
      <c r="B716" s="14" t="s">
        <v>2592</v>
      </c>
      <c r="C716" s="14"/>
      <c r="D716" s="14" t="s">
        <v>8</v>
      </c>
      <c r="E716" s="14" t="s">
        <v>2054</v>
      </c>
      <c r="F716" s="14"/>
      <c r="G716" s="14" t="s">
        <v>77</v>
      </c>
      <c r="H716" s="14" t="s">
        <v>1278</v>
      </c>
      <c r="I716" s="14" t="s">
        <v>1107</v>
      </c>
      <c r="J716" s="14"/>
      <c r="K716" s="14"/>
      <c r="L716" s="14"/>
      <c r="M716" s="14"/>
      <c r="N716" s="14"/>
      <c r="O716" s="14" t="s">
        <v>1279</v>
      </c>
      <c r="P716" s="14"/>
    </row>
    <row r="717" customFormat="false" ht="15" hidden="false" customHeight="false" outlineLevel="0" collapsed="false">
      <c r="A717" s="14" t="s">
        <v>2593</v>
      </c>
      <c r="B717" s="14" t="s">
        <v>2594</v>
      </c>
      <c r="C717" s="14"/>
      <c r="D717" s="14" t="s">
        <v>8</v>
      </c>
      <c r="E717" s="14" t="s">
        <v>2010</v>
      </c>
      <c r="F717" s="14"/>
      <c r="G717" s="14"/>
      <c r="H717" s="14" t="s">
        <v>1278</v>
      </c>
      <c r="I717" s="14" t="s">
        <v>1256</v>
      </c>
      <c r="J717" s="14"/>
      <c r="K717" s="14"/>
      <c r="L717" s="14"/>
      <c r="M717" s="14"/>
      <c r="N717" s="14"/>
      <c r="O717" s="14" t="s">
        <v>1279</v>
      </c>
      <c r="P717" s="14"/>
    </row>
    <row r="718" customFormat="false" ht="43.25" hidden="false" customHeight="false" outlineLevel="0" collapsed="false">
      <c r="A718" s="14" t="s">
        <v>2595</v>
      </c>
      <c r="B718" s="14" t="s">
        <v>2596</v>
      </c>
      <c r="C718" s="14"/>
      <c r="D718" s="14" t="s">
        <v>8</v>
      </c>
      <c r="E718" s="14" t="s">
        <v>2013</v>
      </c>
      <c r="F718" s="14"/>
      <c r="G718" s="14" t="s">
        <v>2597</v>
      </c>
      <c r="H718" s="14" t="s">
        <v>1278</v>
      </c>
      <c r="I718" s="14" t="s">
        <v>1256</v>
      </c>
      <c r="J718" s="14"/>
      <c r="K718" s="14"/>
      <c r="L718" s="14"/>
      <c r="M718" s="14"/>
      <c r="N718" s="14"/>
      <c r="O718" s="14" t="s">
        <v>1279</v>
      </c>
      <c r="P718" s="14"/>
    </row>
    <row r="719" customFormat="false" ht="15" hidden="false" customHeight="false" outlineLevel="0" collapsed="false">
      <c r="A719" s="14" t="s">
        <v>2598</v>
      </c>
      <c r="B719" s="14" t="s">
        <v>2599</v>
      </c>
      <c r="C719" s="14"/>
      <c r="D719" s="14" t="s">
        <v>8</v>
      </c>
      <c r="E719" s="14" t="s">
        <v>2010</v>
      </c>
      <c r="F719" s="14"/>
      <c r="G719" s="14"/>
      <c r="H719" s="14" t="s">
        <v>1278</v>
      </c>
      <c r="I719" s="14" t="s">
        <v>1256</v>
      </c>
      <c r="J719" s="14"/>
      <c r="K719" s="14"/>
      <c r="L719" s="14"/>
      <c r="M719" s="14"/>
      <c r="N719" s="14"/>
      <c r="O719" s="14" t="s">
        <v>1279</v>
      </c>
      <c r="P719" s="14"/>
    </row>
    <row r="720" customFormat="false" ht="22.35" hidden="false" customHeight="false" outlineLevel="0" collapsed="false">
      <c r="A720" s="14" t="s">
        <v>2600</v>
      </c>
      <c r="B720" s="14" t="s">
        <v>2601</v>
      </c>
      <c r="C720" s="14"/>
      <c r="D720" s="14" t="s">
        <v>8</v>
      </c>
      <c r="E720" s="14" t="s">
        <v>2013</v>
      </c>
      <c r="F720" s="14"/>
      <c r="G720" s="14" t="s">
        <v>63</v>
      </c>
      <c r="H720" s="14" t="s">
        <v>1278</v>
      </c>
      <c r="I720" s="14" t="s">
        <v>1256</v>
      </c>
      <c r="J720" s="14"/>
      <c r="K720" s="14"/>
      <c r="L720" s="14"/>
      <c r="M720" s="14"/>
      <c r="N720" s="14"/>
      <c r="O720" s="14" t="s">
        <v>1279</v>
      </c>
      <c r="P720" s="14"/>
    </row>
    <row r="721" customFormat="false" ht="15" hidden="false" customHeight="false" outlineLevel="0" collapsed="false">
      <c r="A721" s="14" t="s">
        <v>2602</v>
      </c>
      <c r="B721" s="14" t="s">
        <v>2603</v>
      </c>
      <c r="C721" s="14"/>
      <c r="D721" s="14" t="s">
        <v>8</v>
      </c>
      <c r="E721" s="14" t="s">
        <v>2010</v>
      </c>
      <c r="F721" s="14"/>
      <c r="G721" s="14"/>
      <c r="H721" s="14" t="s">
        <v>1278</v>
      </c>
      <c r="I721" s="14" t="s">
        <v>1256</v>
      </c>
      <c r="J721" s="14"/>
      <c r="K721" s="14"/>
      <c r="L721" s="14"/>
      <c r="M721" s="14"/>
      <c r="N721" s="14"/>
      <c r="O721" s="14" t="s">
        <v>1279</v>
      </c>
      <c r="P721" s="14"/>
    </row>
    <row r="722" customFormat="false" ht="15" hidden="false" customHeight="false" outlineLevel="0" collapsed="false">
      <c r="A722" s="14" t="s">
        <v>2604</v>
      </c>
      <c r="B722" s="14" t="s">
        <v>2605</v>
      </c>
      <c r="C722" s="14"/>
      <c r="D722" s="14" t="s">
        <v>8</v>
      </c>
      <c r="E722" s="14" t="s">
        <v>2010</v>
      </c>
      <c r="F722" s="14"/>
      <c r="G722" s="14"/>
      <c r="H722" s="14" t="s">
        <v>1278</v>
      </c>
      <c r="I722" s="14" t="s">
        <v>1256</v>
      </c>
      <c r="J722" s="14"/>
      <c r="K722" s="14"/>
      <c r="L722" s="14"/>
      <c r="M722" s="14"/>
      <c r="N722" s="14"/>
      <c r="O722" s="14" t="s">
        <v>1279</v>
      </c>
      <c r="P722" s="14"/>
    </row>
    <row r="723" customFormat="false" ht="22.35" hidden="false" customHeight="false" outlineLevel="0" collapsed="false">
      <c r="A723" s="14" t="s">
        <v>2606</v>
      </c>
      <c r="B723" s="14" t="s">
        <v>2607</v>
      </c>
      <c r="C723" s="14"/>
      <c r="D723" s="14" t="s">
        <v>8</v>
      </c>
      <c r="E723" s="14" t="s">
        <v>2013</v>
      </c>
      <c r="F723" s="14"/>
      <c r="G723" s="14" t="s">
        <v>63</v>
      </c>
      <c r="H723" s="14" t="s">
        <v>1278</v>
      </c>
      <c r="I723" s="14" t="s">
        <v>1256</v>
      </c>
      <c r="J723" s="14"/>
      <c r="K723" s="14"/>
      <c r="L723" s="14"/>
      <c r="M723" s="14"/>
      <c r="N723" s="14"/>
      <c r="O723" s="14" t="s">
        <v>1279</v>
      </c>
      <c r="P723" s="14"/>
    </row>
    <row r="724" customFormat="false" ht="22.35" hidden="false" customHeight="false" outlineLevel="0" collapsed="false">
      <c r="A724" s="14" t="s">
        <v>2608</v>
      </c>
      <c r="B724" s="14" t="s">
        <v>2609</v>
      </c>
      <c r="C724" s="14"/>
      <c r="D724" s="14" t="s">
        <v>8</v>
      </c>
      <c r="E724" s="14" t="s">
        <v>2013</v>
      </c>
      <c r="F724" s="14"/>
      <c r="G724" s="14" t="s">
        <v>2610</v>
      </c>
      <c r="H724" s="14" t="s">
        <v>1278</v>
      </c>
      <c r="I724" s="14" t="s">
        <v>1256</v>
      </c>
      <c r="J724" s="14"/>
      <c r="K724" s="14"/>
      <c r="L724" s="14"/>
      <c r="M724" s="14"/>
      <c r="N724" s="14"/>
      <c r="O724" s="14" t="s">
        <v>1279</v>
      </c>
      <c r="P724" s="14"/>
    </row>
    <row r="725" customFormat="false" ht="22.35" hidden="false" customHeight="false" outlineLevel="0" collapsed="false">
      <c r="A725" s="14" t="s">
        <v>2611</v>
      </c>
      <c r="B725" s="14" t="s">
        <v>2612</v>
      </c>
      <c r="C725" s="14"/>
      <c r="D725" s="14" t="s">
        <v>8</v>
      </c>
      <c r="E725" s="14" t="s">
        <v>2013</v>
      </c>
      <c r="F725" s="14"/>
      <c r="G725" s="14" t="s">
        <v>63</v>
      </c>
      <c r="H725" s="14" t="s">
        <v>1278</v>
      </c>
      <c r="I725" s="14" t="s">
        <v>1256</v>
      </c>
      <c r="J725" s="14"/>
      <c r="K725" s="14"/>
      <c r="L725" s="14"/>
      <c r="M725" s="14"/>
      <c r="N725" s="14"/>
      <c r="O725" s="14" t="s">
        <v>1279</v>
      </c>
      <c r="P725" s="14"/>
    </row>
    <row r="726" customFormat="false" ht="15" hidden="false" customHeight="false" outlineLevel="0" collapsed="false">
      <c r="A726" s="14" t="s">
        <v>2613</v>
      </c>
      <c r="B726" s="14" t="s">
        <v>2614</v>
      </c>
      <c r="C726" s="14"/>
      <c r="D726" s="14" t="s">
        <v>8</v>
      </c>
      <c r="E726" s="14" t="s">
        <v>2010</v>
      </c>
      <c r="F726" s="14"/>
      <c r="G726" s="14"/>
      <c r="H726" s="14" t="s">
        <v>1278</v>
      </c>
      <c r="I726" s="14" t="s">
        <v>1256</v>
      </c>
      <c r="J726" s="14"/>
      <c r="K726" s="14"/>
      <c r="L726" s="14"/>
      <c r="M726" s="14"/>
      <c r="N726" s="14"/>
      <c r="O726" s="14" t="s">
        <v>1279</v>
      </c>
      <c r="P726" s="14"/>
    </row>
    <row r="727" customFormat="false" ht="105.95" hidden="false" customHeight="false" outlineLevel="0" collapsed="false">
      <c r="A727" s="14" t="s">
        <v>2615</v>
      </c>
      <c r="B727" s="14" t="s">
        <v>2616</v>
      </c>
      <c r="C727" s="14"/>
      <c r="D727" s="14" t="s">
        <v>8</v>
      </c>
      <c r="E727" s="14" t="s">
        <v>2010</v>
      </c>
      <c r="F727" s="14"/>
      <c r="G727" s="14" t="s">
        <v>2617</v>
      </c>
      <c r="H727" s="14" t="s">
        <v>1278</v>
      </c>
      <c r="I727" s="14" t="s">
        <v>2026</v>
      </c>
      <c r="J727" s="14"/>
      <c r="K727" s="14"/>
      <c r="L727" s="14"/>
      <c r="M727" s="14"/>
      <c r="N727" s="14"/>
      <c r="O727" s="14" t="s">
        <v>1279</v>
      </c>
      <c r="P727" s="14"/>
    </row>
    <row r="728" customFormat="false" ht="85.05" hidden="false" customHeight="false" outlineLevel="0" collapsed="false">
      <c r="A728" s="14" t="s">
        <v>2618</v>
      </c>
      <c r="B728" s="14" t="s">
        <v>2619</v>
      </c>
      <c r="C728" s="14"/>
      <c r="D728" s="14" t="s">
        <v>8</v>
      </c>
      <c r="E728" s="14" t="s">
        <v>2013</v>
      </c>
      <c r="F728" s="14"/>
      <c r="G728" s="14" t="s">
        <v>2620</v>
      </c>
      <c r="H728" s="14" t="s">
        <v>1278</v>
      </c>
      <c r="I728" s="14" t="s">
        <v>2026</v>
      </c>
      <c r="J728" s="14"/>
      <c r="K728" s="14"/>
      <c r="L728" s="14"/>
      <c r="M728" s="14"/>
      <c r="N728" s="14"/>
      <c r="O728" s="14" t="s">
        <v>1279</v>
      </c>
      <c r="P728" s="14"/>
    </row>
    <row r="729" customFormat="false" ht="22.35" hidden="false" customHeight="false" outlineLevel="0" collapsed="false">
      <c r="A729" s="14" t="s">
        <v>2621</v>
      </c>
      <c r="B729" s="14" t="s">
        <v>2622</v>
      </c>
      <c r="C729" s="14"/>
      <c r="D729" s="14" t="s">
        <v>8</v>
      </c>
      <c r="E729" s="14" t="s">
        <v>2013</v>
      </c>
      <c r="F729" s="14"/>
      <c r="G729" s="14" t="s">
        <v>63</v>
      </c>
      <c r="H729" s="14" t="s">
        <v>1278</v>
      </c>
      <c r="I729" s="14" t="s">
        <v>1256</v>
      </c>
      <c r="J729" s="14"/>
      <c r="K729" s="14"/>
      <c r="L729" s="14"/>
      <c r="M729" s="14"/>
      <c r="N729" s="14"/>
      <c r="O729" s="14" t="s">
        <v>1279</v>
      </c>
      <c r="P729" s="14"/>
    </row>
    <row r="730" customFormat="false" ht="53.7" hidden="false" customHeight="false" outlineLevel="0" collapsed="false">
      <c r="A730" s="14" t="s">
        <v>2623</v>
      </c>
      <c r="B730" s="14" t="s">
        <v>2624</v>
      </c>
      <c r="C730" s="14"/>
      <c r="D730" s="14" t="s">
        <v>8</v>
      </c>
      <c r="E730" s="14" t="s">
        <v>2010</v>
      </c>
      <c r="F730" s="14"/>
      <c r="G730" s="14" t="s">
        <v>2625</v>
      </c>
      <c r="H730" s="14" t="s">
        <v>1278</v>
      </c>
      <c r="I730" s="14" t="s">
        <v>1256</v>
      </c>
      <c r="J730" s="14"/>
      <c r="K730" s="14"/>
      <c r="L730" s="14"/>
      <c r="M730" s="14"/>
      <c r="N730" s="14"/>
      <c r="O730" s="14" t="s">
        <v>1279</v>
      </c>
      <c r="P730" s="14"/>
    </row>
    <row r="731" customFormat="false" ht="22.35" hidden="false" customHeight="false" outlineLevel="0" collapsed="false">
      <c r="A731" s="14" t="s">
        <v>2626</v>
      </c>
      <c r="B731" s="14" t="s">
        <v>2627</v>
      </c>
      <c r="C731" s="14"/>
      <c r="D731" s="14" t="s">
        <v>8</v>
      </c>
      <c r="E731" s="14" t="s">
        <v>2013</v>
      </c>
      <c r="F731" s="14"/>
      <c r="G731" s="14" t="s">
        <v>63</v>
      </c>
      <c r="H731" s="14" t="s">
        <v>1278</v>
      </c>
      <c r="I731" s="14" t="s">
        <v>1256</v>
      </c>
      <c r="J731" s="14"/>
      <c r="K731" s="14"/>
      <c r="L731" s="14"/>
      <c r="M731" s="14"/>
      <c r="N731" s="14"/>
      <c r="O731" s="14" t="s">
        <v>1279</v>
      </c>
      <c r="P731" s="14"/>
    </row>
    <row r="732" customFormat="false" ht="22.35" hidden="false" customHeight="false" outlineLevel="0" collapsed="false">
      <c r="A732" s="14" t="s">
        <v>2628</v>
      </c>
      <c r="B732" s="14" t="s">
        <v>2629</v>
      </c>
      <c r="C732" s="14" t="s">
        <v>831</v>
      </c>
      <c r="D732" s="14" t="s">
        <v>8</v>
      </c>
      <c r="E732" s="14" t="s">
        <v>2013</v>
      </c>
      <c r="F732" s="14" t="s">
        <v>326</v>
      </c>
      <c r="G732" s="14" t="s">
        <v>63</v>
      </c>
      <c r="H732" s="14" t="s">
        <v>1278</v>
      </c>
      <c r="I732" s="14" t="s">
        <v>1256</v>
      </c>
      <c r="J732" s="14"/>
      <c r="K732" s="14"/>
      <c r="L732" s="14"/>
      <c r="M732" s="14"/>
      <c r="N732" s="14"/>
      <c r="O732" s="14" t="s">
        <v>1279</v>
      </c>
      <c r="P732" s="14"/>
    </row>
    <row r="733" customFormat="false" ht="22.35" hidden="false" customHeight="false" outlineLevel="0" collapsed="false">
      <c r="A733" s="14" t="s">
        <v>2630</v>
      </c>
      <c r="B733" s="14" t="s">
        <v>2631</v>
      </c>
      <c r="C733" s="14" t="s">
        <v>465</v>
      </c>
      <c r="D733" s="14" t="s">
        <v>8</v>
      </c>
      <c r="E733" s="14" t="s">
        <v>2013</v>
      </c>
      <c r="F733" s="14" t="s">
        <v>1021</v>
      </c>
      <c r="G733" s="14" t="s">
        <v>63</v>
      </c>
      <c r="H733" s="14" t="s">
        <v>1278</v>
      </c>
      <c r="I733" s="14" t="s">
        <v>1256</v>
      </c>
      <c r="J733" s="14"/>
      <c r="K733" s="14"/>
      <c r="L733" s="14"/>
      <c r="M733" s="14"/>
      <c r="N733" s="14"/>
      <c r="O733" s="14" t="s">
        <v>1279</v>
      </c>
      <c r="P733" s="14"/>
    </row>
    <row r="734" customFormat="false" ht="85.05" hidden="false" customHeight="false" outlineLevel="0" collapsed="false">
      <c r="A734" s="14" t="s">
        <v>2632</v>
      </c>
      <c r="B734" s="14" t="s">
        <v>2633</v>
      </c>
      <c r="C734" s="14"/>
      <c r="D734" s="14" t="s">
        <v>8</v>
      </c>
      <c r="E734" s="14" t="s">
        <v>2010</v>
      </c>
      <c r="F734" s="14"/>
      <c r="G734" s="14" t="s">
        <v>2634</v>
      </c>
      <c r="H734" s="14" t="s">
        <v>1278</v>
      </c>
      <c r="I734" s="14" t="s">
        <v>2026</v>
      </c>
      <c r="J734" s="14"/>
      <c r="K734" s="14"/>
      <c r="L734" s="14"/>
      <c r="M734" s="14"/>
      <c r="N734" s="14"/>
      <c r="O734" s="14" t="s">
        <v>1279</v>
      </c>
      <c r="P734" s="14"/>
    </row>
    <row r="735" customFormat="false" ht="22.35" hidden="false" customHeight="false" outlineLevel="0" collapsed="false">
      <c r="A735" s="14" t="s">
        <v>2635</v>
      </c>
      <c r="B735" s="14" t="s">
        <v>2636</v>
      </c>
      <c r="C735" s="14"/>
      <c r="D735" s="14" t="s">
        <v>8</v>
      </c>
      <c r="E735" s="14" t="s">
        <v>2013</v>
      </c>
      <c r="F735" s="14"/>
      <c r="G735" s="14" t="s">
        <v>63</v>
      </c>
      <c r="H735" s="14" t="s">
        <v>1278</v>
      </c>
      <c r="I735" s="14" t="s">
        <v>1256</v>
      </c>
      <c r="J735" s="14"/>
      <c r="K735" s="14"/>
      <c r="L735" s="14"/>
      <c r="M735" s="14"/>
      <c r="N735" s="14"/>
      <c r="O735" s="14" t="s">
        <v>1279</v>
      </c>
      <c r="P735" s="14"/>
    </row>
    <row r="736" customFormat="false" ht="15" hidden="false" customHeight="false" outlineLevel="0" collapsed="false">
      <c r="A736" s="14" t="s">
        <v>2637</v>
      </c>
      <c r="B736" s="14" t="s">
        <v>2638</v>
      </c>
      <c r="C736" s="14"/>
      <c r="D736" s="14" t="s">
        <v>8</v>
      </c>
      <c r="E736" s="14" t="s">
        <v>2054</v>
      </c>
      <c r="F736" s="14"/>
      <c r="G736" s="14" t="s">
        <v>77</v>
      </c>
      <c r="H736" s="14" t="s">
        <v>1278</v>
      </c>
      <c r="I736" s="14" t="s">
        <v>1107</v>
      </c>
      <c r="J736" s="14"/>
      <c r="K736" s="14"/>
      <c r="L736" s="14"/>
      <c r="M736" s="14"/>
      <c r="N736" s="14"/>
      <c r="O736" s="14" t="s">
        <v>1279</v>
      </c>
      <c r="P736" s="14"/>
    </row>
    <row r="737" customFormat="false" ht="74.6" hidden="false" customHeight="false" outlineLevel="0" collapsed="false">
      <c r="A737" s="14" t="s">
        <v>2639</v>
      </c>
      <c r="B737" s="14" t="s">
        <v>2640</v>
      </c>
      <c r="C737" s="14"/>
      <c r="D737" s="14" t="s">
        <v>8</v>
      </c>
      <c r="E737" s="14" t="s">
        <v>2013</v>
      </c>
      <c r="F737" s="14"/>
      <c r="G737" s="14" t="s">
        <v>2641</v>
      </c>
      <c r="H737" s="14" t="s">
        <v>1278</v>
      </c>
      <c r="I737" s="14" t="s">
        <v>1256</v>
      </c>
      <c r="J737" s="14"/>
      <c r="K737" s="14"/>
      <c r="L737" s="14"/>
      <c r="M737" s="14"/>
      <c r="N737" s="14"/>
      <c r="O737" s="14" t="s">
        <v>1279</v>
      </c>
      <c r="P737" s="14"/>
    </row>
    <row r="738" customFormat="false" ht="15" hidden="false" customHeight="false" outlineLevel="0" collapsed="false">
      <c r="A738" s="14" t="s">
        <v>2642</v>
      </c>
      <c r="B738" s="14" t="s">
        <v>2643</v>
      </c>
      <c r="C738" s="14"/>
      <c r="D738" s="14" t="s">
        <v>8</v>
      </c>
      <c r="E738" s="14" t="s">
        <v>2010</v>
      </c>
      <c r="F738" s="14"/>
      <c r="G738" s="14"/>
      <c r="H738" s="14" t="s">
        <v>1278</v>
      </c>
      <c r="I738" s="14" t="s">
        <v>1256</v>
      </c>
      <c r="J738" s="14"/>
      <c r="K738" s="14"/>
      <c r="L738" s="14"/>
      <c r="M738" s="14"/>
      <c r="N738" s="14"/>
      <c r="O738" s="14" t="s">
        <v>1279</v>
      </c>
      <c r="P738" s="14"/>
    </row>
    <row r="739" customFormat="false" ht="15" hidden="false" customHeight="false" outlineLevel="0" collapsed="false">
      <c r="A739" s="14" t="s">
        <v>2644</v>
      </c>
      <c r="B739" s="14" t="s">
        <v>2645</v>
      </c>
      <c r="C739" s="14"/>
      <c r="D739" s="14" t="s">
        <v>8</v>
      </c>
      <c r="E739" s="14" t="s">
        <v>2010</v>
      </c>
      <c r="F739" s="14"/>
      <c r="G739" s="14"/>
      <c r="H739" s="14" t="s">
        <v>1278</v>
      </c>
      <c r="I739" s="14" t="s">
        <v>1256</v>
      </c>
      <c r="J739" s="14"/>
      <c r="K739" s="14"/>
      <c r="L739" s="14"/>
      <c r="M739" s="14"/>
      <c r="N739" s="14"/>
      <c r="O739" s="14" t="s">
        <v>1279</v>
      </c>
      <c r="P739" s="14"/>
    </row>
    <row r="740" customFormat="false" ht="74.6" hidden="false" customHeight="false" outlineLevel="0" collapsed="false">
      <c r="A740" s="14" t="s">
        <v>2646</v>
      </c>
      <c r="B740" s="14" t="s">
        <v>2647</v>
      </c>
      <c r="C740" s="14"/>
      <c r="D740" s="14" t="s">
        <v>8</v>
      </c>
      <c r="E740" s="14" t="s">
        <v>2013</v>
      </c>
      <c r="F740" s="14"/>
      <c r="G740" s="14" t="s">
        <v>2648</v>
      </c>
      <c r="H740" s="14" t="s">
        <v>1278</v>
      </c>
      <c r="I740" s="14" t="s">
        <v>2026</v>
      </c>
      <c r="J740" s="14"/>
      <c r="K740" s="14"/>
      <c r="L740" s="14"/>
      <c r="M740" s="14"/>
      <c r="N740" s="14"/>
      <c r="O740" s="14" t="s">
        <v>1279</v>
      </c>
      <c r="P740" s="14"/>
    </row>
    <row r="741" customFormat="false" ht="15" hidden="false" customHeight="false" outlineLevel="0" collapsed="false">
      <c r="A741" s="14" t="s">
        <v>2649</v>
      </c>
      <c r="B741" s="14" t="s">
        <v>2650</v>
      </c>
      <c r="C741" s="14"/>
      <c r="D741" s="14" t="s">
        <v>8</v>
      </c>
      <c r="E741" s="14" t="s">
        <v>2010</v>
      </c>
      <c r="F741" s="14"/>
      <c r="G741" s="14"/>
      <c r="H741" s="14" t="s">
        <v>1278</v>
      </c>
      <c r="I741" s="14" t="s">
        <v>1256</v>
      </c>
      <c r="J741" s="14"/>
      <c r="K741" s="14"/>
      <c r="L741" s="14"/>
      <c r="M741" s="14"/>
      <c r="N741" s="14"/>
      <c r="O741" s="14" t="s">
        <v>1279</v>
      </c>
      <c r="P741" s="14"/>
    </row>
    <row r="742" customFormat="false" ht="85.05" hidden="false" customHeight="false" outlineLevel="0" collapsed="false">
      <c r="A742" s="14" t="s">
        <v>2651</v>
      </c>
      <c r="B742" s="14" t="s">
        <v>2652</v>
      </c>
      <c r="C742" s="14"/>
      <c r="D742" s="14" t="s">
        <v>8</v>
      </c>
      <c r="E742" s="14" t="s">
        <v>2013</v>
      </c>
      <c r="F742" s="14"/>
      <c r="G742" s="14" t="s">
        <v>2653</v>
      </c>
      <c r="H742" s="14" t="s">
        <v>1278</v>
      </c>
      <c r="I742" s="14" t="s">
        <v>2026</v>
      </c>
      <c r="J742" s="14"/>
      <c r="K742" s="14"/>
      <c r="L742" s="14"/>
      <c r="M742" s="14"/>
      <c r="N742" s="14"/>
      <c r="O742" s="14" t="s">
        <v>1279</v>
      </c>
      <c r="P742" s="14"/>
    </row>
    <row r="743" customFormat="false" ht="53.7" hidden="false" customHeight="false" outlineLevel="0" collapsed="false">
      <c r="A743" s="14" t="s">
        <v>2654</v>
      </c>
      <c r="B743" s="14" t="s">
        <v>2655</v>
      </c>
      <c r="C743" s="14"/>
      <c r="D743" s="14" t="s">
        <v>8</v>
      </c>
      <c r="E743" s="14" t="s">
        <v>2010</v>
      </c>
      <c r="F743" s="14"/>
      <c r="G743" s="14" t="s">
        <v>2656</v>
      </c>
      <c r="H743" s="14" t="s">
        <v>1278</v>
      </c>
      <c r="I743" s="14" t="s">
        <v>2026</v>
      </c>
      <c r="J743" s="14"/>
      <c r="K743" s="14"/>
      <c r="L743" s="14"/>
      <c r="M743" s="14"/>
      <c r="N743" s="14"/>
      <c r="O743" s="14" t="s">
        <v>1279</v>
      </c>
      <c r="P743" s="14"/>
    </row>
    <row r="744" customFormat="false" ht="64.15" hidden="false" customHeight="false" outlineLevel="0" collapsed="false">
      <c r="A744" s="14" t="s">
        <v>2657</v>
      </c>
      <c r="B744" s="14" t="s">
        <v>2658</v>
      </c>
      <c r="C744" s="14"/>
      <c r="D744" s="14" t="s">
        <v>8</v>
      </c>
      <c r="E744" s="14" t="s">
        <v>2010</v>
      </c>
      <c r="F744" s="14"/>
      <c r="G744" s="14" t="s">
        <v>2659</v>
      </c>
      <c r="H744" s="14" t="s">
        <v>1278</v>
      </c>
      <c r="I744" s="14" t="s">
        <v>2026</v>
      </c>
      <c r="J744" s="14"/>
      <c r="K744" s="14"/>
      <c r="L744" s="14"/>
      <c r="M744" s="14"/>
      <c r="N744" s="14"/>
      <c r="O744" s="14" t="s">
        <v>1279</v>
      </c>
      <c r="P744" s="14"/>
    </row>
    <row r="745" customFormat="false" ht="74.6" hidden="false" customHeight="false" outlineLevel="0" collapsed="false">
      <c r="A745" s="14" t="s">
        <v>2660</v>
      </c>
      <c r="B745" s="14" t="s">
        <v>2661</v>
      </c>
      <c r="C745" s="14"/>
      <c r="D745" s="14" t="s">
        <v>8</v>
      </c>
      <c r="E745" s="14" t="s">
        <v>2010</v>
      </c>
      <c r="F745" s="14"/>
      <c r="G745" s="14" t="s">
        <v>2662</v>
      </c>
      <c r="H745" s="14" t="s">
        <v>1278</v>
      </c>
      <c r="I745" s="14" t="s">
        <v>1107</v>
      </c>
      <c r="J745" s="14"/>
      <c r="K745" s="14"/>
      <c r="L745" s="14"/>
      <c r="M745" s="14"/>
      <c r="N745" s="14"/>
      <c r="O745" s="14" t="s">
        <v>1279</v>
      </c>
      <c r="P745" s="14"/>
    </row>
    <row r="746" customFormat="false" ht="22.35" hidden="false" customHeight="false" outlineLevel="0" collapsed="false">
      <c r="A746" s="14" t="s">
        <v>2663</v>
      </c>
      <c r="B746" s="14" t="s">
        <v>2664</v>
      </c>
      <c r="C746" s="14"/>
      <c r="D746" s="14" t="s">
        <v>8</v>
      </c>
      <c r="E746" s="14" t="s">
        <v>2013</v>
      </c>
      <c r="F746" s="14"/>
      <c r="G746" s="14" t="s">
        <v>2665</v>
      </c>
      <c r="H746" s="14" t="s">
        <v>1278</v>
      </c>
      <c r="I746" s="14" t="s">
        <v>2026</v>
      </c>
      <c r="J746" s="14"/>
      <c r="K746" s="14"/>
      <c r="L746" s="14"/>
      <c r="M746" s="14"/>
      <c r="N746" s="14"/>
      <c r="O746" s="14" t="s">
        <v>1279</v>
      </c>
      <c r="P746" s="14"/>
    </row>
    <row r="747" customFormat="false" ht="126.85" hidden="false" customHeight="false" outlineLevel="0" collapsed="false">
      <c r="A747" s="14" t="s">
        <v>2666</v>
      </c>
      <c r="B747" s="14" t="s">
        <v>2667</v>
      </c>
      <c r="C747" s="14"/>
      <c r="D747" s="14" t="s">
        <v>8</v>
      </c>
      <c r="E747" s="14" t="s">
        <v>2013</v>
      </c>
      <c r="F747" s="14"/>
      <c r="G747" s="14" t="s">
        <v>2668</v>
      </c>
      <c r="H747" s="14" t="s">
        <v>1278</v>
      </c>
      <c r="I747" s="14" t="s">
        <v>2026</v>
      </c>
      <c r="J747" s="14"/>
      <c r="K747" s="14"/>
      <c r="L747" s="14"/>
      <c r="M747" s="14"/>
      <c r="N747" s="14"/>
      <c r="O747" s="14" t="s">
        <v>1279</v>
      </c>
      <c r="P747" s="14"/>
    </row>
    <row r="748" customFormat="false" ht="85.05" hidden="false" customHeight="false" outlineLevel="0" collapsed="false">
      <c r="A748" s="14" t="s">
        <v>2669</v>
      </c>
      <c r="B748" s="14" t="s">
        <v>2670</v>
      </c>
      <c r="C748" s="14"/>
      <c r="D748" s="14" t="s">
        <v>8</v>
      </c>
      <c r="E748" s="14" t="s">
        <v>2010</v>
      </c>
      <c r="F748" s="14"/>
      <c r="G748" s="14" t="s">
        <v>2671</v>
      </c>
      <c r="H748" s="14" t="s">
        <v>1278</v>
      </c>
      <c r="I748" s="14" t="s">
        <v>2026</v>
      </c>
      <c r="J748" s="14"/>
      <c r="K748" s="14"/>
      <c r="L748" s="14"/>
      <c r="M748" s="14"/>
      <c r="N748" s="14"/>
      <c r="O748" s="14" t="s">
        <v>1279</v>
      </c>
      <c r="P748" s="14"/>
    </row>
    <row r="749" customFormat="false" ht="15" hidden="false" customHeight="false" outlineLevel="0" collapsed="false">
      <c r="A749" s="14" t="s">
        <v>2672</v>
      </c>
      <c r="B749" s="14" t="s">
        <v>2673</v>
      </c>
      <c r="C749" s="14"/>
      <c r="D749" s="14" t="s">
        <v>8</v>
      </c>
      <c r="E749" s="14" t="s">
        <v>2010</v>
      </c>
      <c r="F749" s="14"/>
      <c r="G749" s="14"/>
      <c r="H749" s="14" t="s">
        <v>1278</v>
      </c>
      <c r="I749" s="14" t="s">
        <v>1256</v>
      </c>
      <c r="J749" s="14"/>
      <c r="K749" s="14"/>
      <c r="L749" s="14"/>
      <c r="M749" s="14"/>
      <c r="N749" s="14"/>
      <c r="O749" s="14" t="s">
        <v>1279</v>
      </c>
      <c r="P749" s="14"/>
    </row>
    <row r="750" customFormat="false" ht="15" hidden="false" customHeight="false" outlineLevel="0" collapsed="false">
      <c r="A750" s="14" t="s">
        <v>2674</v>
      </c>
      <c r="B750" s="14" t="s">
        <v>2675</v>
      </c>
      <c r="C750" s="14"/>
      <c r="D750" s="14" t="s">
        <v>8</v>
      </c>
      <c r="E750" s="14" t="s">
        <v>2010</v>
      </c>
      <c r="F750" s="14"/>
      <c r="G750" s="14"/>
      <c r="H750" s="14" t="s">
        <v>1278</v>
      </c>
      <c r="I750" s="14" t="s">
        <v>1256</v>
      </c>
      <c r="J750" s="14"/>
      <c r="K750" s="14"/>
      <c r="L750" s="14"/>
      <c r="M750" s="14"/>
      <c r="N750" s="14"/>
      <c r="O750" s="14" t="s">
        <v>1279</v>
      </c>
      <c r="P750" s="14"/>
    </row>
    <row r="751" customFormat="false" ht="43.25" hidden="false" customHeight="false" outlineLevel="0" collapsed="false">
      <c r="A751" s="14" t="s">
        <v>2676</v>
      </c>
      <c r="B751" s="14" t="s">
        <v>2677</v>
      </c>
      <c r="C751" s="14"/>
      <c r="D751" s="14" t="s">
        <v>8</v>
      </c>
      <c r="E751" s="14" t="s">
        <v>2013</v>
      </c>
      <c r="F751" s="14"/>
      <c r="G751" s="14" t="s">
        <v>2678</v>
      </c>
      <c r="H751" s="14" t="s">
        <v>1278</v>
      </c>
      <c r="I751" s="14" t="s">
        <v>1256</v>
      </c>
      <c r="J751" s="14"/>
      <c r="K751" s="14"/>
      <c r="L751" s="14"/>
      <c r="M751" s="14"/>
      <c r="N751" s="14"/>
      <c r="O751" s="14" t="s">
        <v>1279</v>
      </c>
      <c r="P751" s="14"/>
    </row>
    <row r="752" customFormat="false" ht="15" hidden="false" customHeight="false" outlineLevel="0" collapsed="false">
      <c r="A752" s="14" t="s">
        <v>2679</v>
      </c>
      <c r="B752" s="14" t="s">
        <v>2680</v>
      </c>
      <c r="C752" s="14"/>
      <c r="D752" s="14" t="s">
        <v>8</v>
      </c>
      <c r="E752" s="14" t="s">
        <v>2010</v>
      </c>
      <c r="F752" s="14"/>
      <c r="G752" s="14"/>
      <c r="H752" s="14" t="s">
        <v>1278</v>
      </c>
      <c r="I752" s="14" t="s">
        <v>1256</v>
      </c>
      <c r="J752" s="14"/>
      <c r="K752" s="14"/>
      <c r="L752" s="14"/>
      <c r="M752" s="14"/>
      <c r="N752" s="14"/>
      <c r="O752" s="14" t="s">
        <v>1279</v>
      </c>
      <c r="P752" s="14"/>
    </row>
    <row r="753" customFormat="false" ht="15" hidden="false" customHeight="false" outlineLevel="0" collapsed="false">
      <c r="A753" s="14" t="s">
        <v>2681</v>
      </c>
      <c r="B753" s="14" t="s">
        <v>2682</v>
      </c>
      <c r="C753" s="14"/>
      <c r="D753" s="14" t="s">
        <v>8</v>
      </c>
      <c r="E753" s="14" t="s">
        <v>2010</v>
      </c>
      <c r="F753" s="14"/>
      <c r="G753" s="14"/>
      <c r="H753" s="14" t="s">
        <v>1278</v>
      </c>
      <c r="I753" s="14" t="s">
        <v>1256</v>
      </c>
      <c r="J753" s="14"/>
      <c r="K753" s="14"/>
      <c r="L753" s="14"/>
      <c r="M753" s="14"/>
      <c r="N753" s="14"/>
      <c r="O753" s="14" t="s">
        <v>1279</v>
      </c>
      <c r="P753" s="14"/>
    </row>
    <row r="754" customFormat="false" ht="15" hidden="false" customHeight="false" outlineLevel="0" collapsed="false">
      <c r="A754" s="14" t="s">
        <v>2683</v>
      </c>
      <c r="B754" s="14" t="s">
        <v>2684</v>
      </c>
      <c r="C754" s="14"/>
      <c r="D754" s="14" t="s">
        <v>8</v>
      </c>
      <c r="E754" s="14" t="s">
        <v>2010</v>
      </c>
      <c r="F754" s="14"/>
      <c r="G754" s="14"/>
      <c r="H754" s="14" t="s">
        <v>1278</v>
      </c>
      <c r="I754" s="14" t="s">
        <v>1256</v>
      </c>
      <c r="J754" s="14"/>
      <c r="K754" s="14"/>
      <c r="L754" s="14"/>
      <c r="M754" s="14"/>
      <c r="N754" s="14"/>
      <c r="O754" s="14" t="s">
        <v>1279</v>
      </c>
      <c r="P754" s="14"/>
    </row>
    <row r="755" customFormat="false" ht="22.35" hidden="false" customHeight="false" outlineLevel="0" collapsed="false">
      <c r="A755" s="14" t="s">
        <v>2685</v>
      </c>
      <c r="B755" s="14" t="s">
        <v>2686</v>
      </c>
      <c r="C755" s="14"/>
      <c r="D755" s="14" t="s">
        <v>8</v>
      </c>
      <c r="E755" s="14" t="s">
        <v>2013</v>
      </c>
      <c r="F755" s="14"/>
      <c r="G755" s="14" t="s">
        <v>63</v>
      </c>
      <c r="H755" s="14" t="s">
        <v>1278</v>
      </c>
      <c r="I755" s="14" t="s">
        <v>1256</v>
      </c>
      <c r="J755" s="14"/>
      <c r="K755" s="14"/>
      <c r="L755" s="14"/>
      <c r="M755" s="14"/>
      <c r="N755" s="14"/>
      <c r="O755" s="14" t="s">
        <v>1279</v>
      </c>
      <c r="P755" s="14"/>
    </row>
    <row r="756" customFormat="false" ht="116.4" hidden="false" customHeight="false" outlineLevel="0" collapsed="false">
      <c r="A756" s="14" t="s">
        <v>2687</v>
      </c>
      <c r="B756" s="14" t="s">
        <v>2688</v>
      </c>
      <c r="C756" s="14"/>
      <c r="D756" s="14" t="s">
        <v>8</v>
      </c>
      <c r="E756" s="14" t="s">
        <v>2013</v>
      </c>
      <c r="F756" s="14"/>
      <c r="G756" s="14" t="s">
        <v>2689</v>
      </c>
      <c r="H756" s="14" t="s">
        <v>1278</v>
      </c>
      <c r="I756" s="14" t="s">
        <v>2026</v>
      </c>
      <c r="J756" s="14"/>
      <c r="K756" s="14"/>
      <c r="L756" s="14"/>
      <c r="M756" s="14"/>
      <c r="N756" s="14"/>
      <c r="O756" s="14" t="s">
        <v>1279</v>
      </c>
      <c r="P756" s="14"/>
    </row>
    <row r="757" customFormat="false" ht="95.5" hidden="false" customHeight="false" outlineLevel="0" collapsed="false">
      <c r="A757" s="14" t="s">
        <v>2690</v>
      </c>
      <c r="B757" s="14" t="s">
        <v>2691</v>
      </c>
      <c r="C757" s="14"/>
      <c r="D757" s="14" t="s">
        <v>8</v>
      </c>
      <c r="E757" s="14" t="s">
        <v>2013</v>
      </c>
      <c r="F757" s="14"/>
      <c r="G757" s="14" t="s">
        <v>2692</v>
      </c>
      <c r="H757" s="14" t="s">
        <v>1278</v>
      </c>
      <c r="I757" s="14" t="s">
        <v>1256</v>
      </c>
      <c r="J757" s="14"/>
      <c r="K757" s="14"/>
      <c r="L757" s="14"/>
      <c r="M757" s="14"/>
      <c r="N757" s="14"/>
      <c r="O757" s="14" t="s">
        <v>1279</v>
      </c>
      <c r="P757" s="14"/>
    </row>
    <row r="758" customFormat="false" ht="15" hidden="false" customHeight="false" outlineLevel="0" collapsed="false">
      <c r="A758" s="14" t="s">
        <v>2693</v>
      </c>
      <c r="B758" s="14" t="s">
        <v>1130</v>
      </c>
      <c r="C758" s="14"/>
      <c r="D758" s="14" t="s">
        <v>8</v>
      </c>
      <c r="E758" s="14" t="s">
        <v>2054</v>
      </c>
      <c r="F758" s="14"/>
      <c r="G758" s="14" t="s">
        <v>77</v>
      </c>
      <c r="H758" s="14" t="s">
        <v>1278</v>
      </c>
      <c r="I758" s="14" t="s">
        <v>1107</v>
      </c>
      <c r="J758" s="14"/>
      <c r="K758" s="14"/>
      <c r="L758" s="14"/>
      <c r="M758" s="14"/>
      <c r="N758" s="14"/>
      <c r="O758" s="14" t="s">
        <v>1279</v>
      </c>
      <c r="P758" s="14"/>
    </row>
    <row r="759" customFormat="false" ht="64.15" hidden="false" customHeight="false" outlineLevel="0" collapsed="false">
      <c r="A759" s="14" t="s">
        <v>2694</v>
      </c>
      <c r="B759" s="14" t="s">
        <v>2695</v>
      </c>
      <c r="C759" s="14"/>
      <c r="D759" s="14" t="s">
        <v>8</v>
      </c>
      <c r="E759" s="14" t="s">
        <v>2013</v>
      </c>
      <c r="F759" s="14"/>
      <c r="G759" s="14" t="s">
        <v>2696</v>
      </c>
      <c r="H759" s="14" t="s">
        <v>1278</v>
      </c>
      <c r="I759" s="14" t="s">
        <v>2026</v>
      </c>
      <c r="J759" s="14"/>
      <c r="K759" s="14"/>
      <c r="L759" s="14"/>
      <c r="M759" s="14"/>
      <c r="N759" s="14"/>
      <c r="O759" s="14" t="s">
        <v>1279</v>
      </c>
      <c r="P759" s="14"/>
    </row>
    <row r="760" customFormat="false" ht="74.6" hidden="false" customHeight="false" outlineLevel="0" collapsed="false">
      <c r="A760" s="14" t="s">
        <v>2697</v>
      </c>
      <c r="B760" s="14" t="s">
        <v>2698</v>
      </c>
      <c r="C760" s="14"/>
      <c r="D760" s="14" t="s">
        <v>8</v>
      </c>
      <c r="E760" s="14" t="s">
        <v>2010</v>
      </c>
      <c r="F760" s="14"/>
      <c r="G760" s="14" t="s">
        <v>2699</v>
      </c>
      <c r="H760" s="14" t="s">
        <v>1278</v>
      </c>
      <c r="I760" s="14" t="s">
        <v>2026</v>
      </c>
      <c r="J760" s="14"/>
      <c r="K760" s="14"/>
      <c r="L760" s="14"/>
      <c r="M760" s="14"/>
      <c r="N760" s="14"/>
      <c r="O760" s="14" t="s">
        <v>1279</v>
      </c>
      <c r="P760" s="14"/>
    </row>
    <row r="761" customFormat="false" ht="15" hidden="false" customHeight="false" outlineLevel="0" collapsed="false">
      <c r="A761" s="14" t="s">
        <v>2700</v>
      </c>
      <c r="B761" s="14" t="s">
        <v>2701</v>
      </c>
      <c r="C761" s="14"/>
      <c r="D761" s="14" t="s">
        <v>8</v>
      </c>
      <c r="E761" s="14" t="s">
        <v>2010</v>
      </c>
      <c r="F761" s="14"/>
      <c r="G761" s="14"/>
      <c r="H761" s="14" t="s">
        <v>1278</v>
      </c>
      <c r="I761" s="14" t="s">
        <v>1256</v>
      </c>
      <c r="J761" s="14"/>
      <c r="K761" s="14"/>
      <c r="L761" s="14"/>
      <c r="M761" s="14"/>
      <c r="N761" s="14"/>
      <c r="O761" s="14" t="s">
        <v>1279</v>
      </c>
      <c r="P761" s="14"/>
    </row>
    <row r="762" customFormat="false" ht="64.15" hidden="false" customHeight="false" outlineLevel="0" collapsed="false">
      <c r="A762" s="14" t="s">
        <v>2702</v>
      </c>
      <c r="B762" s="14" t="s">
        <v>2703</v>
      </c>
      <c r="C762" s="14"/>
      <c r="D762" s="14" t="s">
        <v>8</v>
      </c>
      <c r="E762" s="14" t="s">
        <v>2013</v>
      </c>
      <c r="F762" s="14"/>
      <c r="G762" s="14" t="s">
        <v>2704</v>
      </c>
      <c r="H762" s="14" t="s">
        <v>1278</v>
      </c>
      <c r="I762" s="14" t="s">
        <v>2026</v>
      </c>
      <c r="J762" s="14"/>
      <c r="K762" s="14"/>
      <c r="L762" s="14"/>
      <c r="M762" s="14"/>
      <c r="N762" s="14"/>
      <c r="O762" s="14" t="s">
        <v>1279</v>
      </c>
      <c r="P762" s="14"/>
    </row>
    <row r="763" customFormat="false" ht="15" hidden="false" customHeight="false" outlineLevel="0" collapsed="false">
      <c r="A763" s="14" t="s">
        <v>2705</v>
      </c>
      <c r="B763" s="14" t="s">
        <v>2706</v>
      </c>
      <c r="C763" s="14"/>
      <c r="D763" s="14" t="s">
        <v>8</v>
      </c>
      <c r="E763" s="14" t="s">
        <v>2010</v>
      </c>
      <c r="F763" s="14"/>
      <c r="G763" s="14"/>
      <c r="H763" s="14" t="s">
        <v>1278</v>
      </c>
      <c r="I763" s="14" t="s">
        <v>1256</v>
      </c>
      <c r="J763" s="14"/>
      <c r="K763" s="14"/>
      <c r="L763" s="14"/>
      <c r="M763" s="14"/>
      <c r="N763" s="14"/>
      <c r="O763" s="14" t="s">
        <v>1279</v>
      </c>
      <c r="P763" s="14"/>
    </row>
    <row r="764" customFormat="false" ht="105.95" hidden="false" customHeight="false" outlineLevel="0" collapsed="false">
      <c r="A764" s="14" t="s">
        <v>2707</v>
      </c>
      <c r="B764" s="14" t="s">
        <v>2708</v>
      </c>
      <c r="C764" s="14"/>
      <c r="D764" s="14" t="s">
        <v>8</v>
      </c>
      <c r="E764" s="14" t="s">
        <v>2013</v>
      </c>
      <c r="F764" s="14"/>
      <c r="G764" s="14" t="s">
        <v>2709</v>
      </c>
      <c r="H764" s="14" t="s">
        <v>1278</v>
      </c>
      <c r="I764" s="14" t="s">
        <v>2026</v>
      </c>
      <c r="J764" s="14"/>
      <c r="K764" s="14"/>
      <c r="L764" s="14"/>
      <c r="M764" s="14"/>
      <c r="N764" s="14"/>
      <c r="O764" s="14" t="s">
        <v>1279</v>
      </c>
      <c r="P764" s="14"/>
    </row>
    <row r="765" customFormat="false" ht="43.25" hidden="false" customHeight="false" outlineLevel="0" collapsed="false">
      <c r="A765" s="14" t="s">
        <v>2710</v>
      </c>
      <c r="B765" s="14" t="s">
        <v>2711</v>
      </c>
      <c r="C765" s="14"/>
      <c r="D765" s="14" t="s">
        <v>8</v>
      </c>
      <c r="E765" s="14" t="s">
        <v>2013</v>
      </c>
      <c r="F765" s="14"/>
      <c r="G765" s="14" t="s">
        <v>2712</v>
      </c>
      <c r="H765" s="14" t="s">
        <v>1278</v>
      </c>
      <c r="I765" s="14" t="s">
        <v>2026</v>
      </c>
      <c r="J765" s="14"/>
      <c r="K765" s="14"/>
      <c r="L765" s="14"/>
      <c r="M765" s="14"/>
      <c r="N765" s="14"/>
      <c r="O765" s="14" t="s">
        <v>1279</v>
      </c>
      <c r="P765" s="14"/>
    </row>
    <row r="766" customFormat="false" ht="15" hidden="false" customHeight="false" outlineLevel="0" collapsed="false">
      <c r="A766" s="14" t="s">
        <v>2713</v>
      </c>
      <c r="B766" s="14" t="s">
        <v>2714</v>
      </c>
      <c r="C766" s="14"/>
      <c r="D766" s="14" t="s">
        <v>8</v>
      </c>
      <c r="E766" s="14" t="s">
        <v>2010</v>
      </c>
      <c r="F766" s="14"/>
      <c r="G766" s="14"/>
      <c r="H766" s="14" t="s">
        <v>1278</v>
      </c>
      <c r="I766" s="14" t="s">
        <v>1256</v>
      </c>
      <c r="J766" s="14"/>
      <c r="K766" s="14"/>
      <c r="L766" s="14"/>
      <c r="M766" s="14"/>
      <c r="N766" s="14"/>
      <c r="O766" s="14" t="s">
        <v>1279</v>
      </c>
      <c r="P766" s="14"/>
    </row>
    <row r="767" customFormat="false" ht="22.35" hidden="false" customHeight="false" outlineLevel="0" collapsed="false">
      <c r="A767" s="14" t="s">
        <v>2715</v>
      </c>
      <c r="B767" s="14" t="s">
        <v>2716</v>
      </c>
      <c r="C767" s="14"/>
      <c r="D767" s="14" t="s">
        <v>8</v>
      </c>
      <c r="E767" s="14" t="s">
        <v>2013</v>
      </c>
      <c r="F767" s="14"/>
      <c r="G767" s="14" t="s">
        <v>63</v>
      </c>
      <c r="H767" s="14" t="s">
        <v>1278</v>
      </c>
      <c r="I767" s="14" t="s">
        <v>1256</v>
      </c>
      <c r="J767" s="14"/>
      <c r="K767" s="14"/>
      <c r="L767" s="14"/>
      <c r="M767" s="14"/>
      <c r="N767" s="14"/>
      <c r="O767" s="14" t="s">
        <v>1279</v>
      </c>
      <c r="P767" s="14"/>
    </row>
    <row r="768" customFormat="false" ht="15" hidden="false" customHeight="false" outlineLevel="0" collapsed="false">
      <c r="A768" s="14" t="s">
        <v>2717</v>
      </c>
      <c r="B768" s="14" t="s">
        <v>2718</v>
      </c>
      <c r="C768" s="14"/>
      <c r="D768" s="14" t="s">
        <v>8</v>
      </c>
      <c r="E768" s="14" t="s">
        <v>2010</v>
      </c>
      <c r="F768" s="14"/>
      <c r="G768" s="14"/>
      <c r="H768" s="14" t="s">
        <v>1278</v>
      </c>
      <c r="I768" s="14" t="s">
        <v>1256</v>
      </c>
      <c r="J768" s="14"/>
      <c r="K768" s="14"/>
      <c r="L768" s="14"/>
      <c r="M768" s="14"/>
      <c r="N768" s="14"/>
      <c r="O768" s="14" t="s">
        <v>1279</v>
      </c>
      <c r="P768" s="14"/>
    </row>
    <row r="769" customFormat="false" ht="22.35" hidden="false" customHeight="false" outlineLevel="0" collapsed="false">
      <c r="A769" s="14" t="s">
        <v>2719</v>
      </c>
      <c r="B769" s="14" t="s">
        <v>2720</v>
      </c>
      <c r="C769" s="14"/>
      <c r="D769" s="14" t="s">
        <v>8</v>
      </c>
      <c r="E769" s="14" t="s">
        <v>2013</v>
      </c>
      <c r="F769" s="14"/>
      <c r="G769" s="14" t="s">
        <v>63</v>
      </c>
      <c r="H769" s="14" t="s">
        <v>1278</v>
      </c>
      <c r="I769" s="14" t="s">
        <v>1256</v>
      </c>
      <c r="J769" s="14"/>
      <c r="K769" s="14"/>
      <c r="L769" s="14"/>
      <c r="M769" s="14"/>
      <c r="N769" s="14"/>
      <c r="O769" s="14" t="s">
        <v>1279</v>
      </c>
      <c r="P769" s="14"/>
    </row>
    <row r="770" customFormat="false" ht="22.35" hidden="false" customHeight="false" outlineLevel="0" collapsed="false">
      <c r="A770" s="14" t="s">
        <v>2721</v>
      </c>
      <c r="B770" s="14" t="s">
        <v>2722</v>
      </c>
      <c r="C770" s="14"/>
      <c r="D770" s="14" t="s">
        <v>8</v>
      </c>
      <c r="E770" s="14" t="s">
        <v>2013</v>
      </c>
      <c r="F770" s="14"/>
      <c r="G770" s="14" t="s">
        <v>63</v>
      </c>
      <c r="H770" s="14" t="s">
        <v>1278</v>
      </c>
      <c r="I770" s="14" t="s">
        <v>1256</v>
      </c>
      <c r="J770" s="14"/>
      <c r="K770" s="14"/>
      <c r="L770" s="14"/>
      <c r="M770" s="14"/>
      <c r="N770" s="14"/>
      <c r="O770" s="14" t="s">
        <v>1279</v>
      </c>
      <c r="P770" s="14"/>
    </row>
    <row r="771" customFormat="false" ht="95.5" hidden="false" customHeight="false" outlineLevel="0" collapsed="false">
      <c r="A771" s="14" t="s">
        <v>2723</v>
      </c>
      <c r="B771" s="14" t="s">
        <v>2724</v>
      </c>
      <c r="C771" s="14"/>
      <c r="D771" s="14" t="s">
        <v>8</v>
      </c>
      <c r="E771" s="14" t="s">
        <v>2013</v>
      </c>
      <c r="F771" s="14"/>
      <c r="G771" s="14" t="s">
        <v>2725</v>
      </c>
      <c r="H771" s="14" t="s">
        <v>1278</v>
      </c>
      <c r="I771" s="14" t="s">
        <v>2026</v>
      </c>
      <c r="J771" s="14"/>
      <c r="K771" s="14"/>
      <c r="L771" s="14"/>
      <c r="M771" s="14"/>
      <c r="N771" s="14"/>
      <c r="O771" s="14" t="s">
        <v>1279</v>
      </c>
      <c r="P771" s="14"/>
    </row>
    <row r="772" customFormat="false" ht="74.6" hidden="false" customHeight="false" outlineLevel="0" collapsed="false">
      <c r="A772" s="14" t="s">
        <v>2726</v>
      </c>
      <c r="B772" s="14" t="s">
        <v>2727</v>
      </c>
      <c r="C772" s="14"/>
      <c r="D772" s="14" t="s">
        <v>8</v>
      </c>
      <c r="E772" s="14" t="s">
        <v>2010</v>
      </c>
      <c r="F772" s="14"/>
      <c r="G772" s="14" t="s">
        <v>2728</v>
      </c>
      <c r="H772" s="14" t="s">
        <v>1278</v>
      </c>
      <c r="I772" s="14" t="s">
        <v>1256</v>
      </c>
      <c r="J772" s="14"/>
      <c r="K772" s="14"/>
      <c r="L772" s="14"/>
      <c r="M772" s="14"/>
      <c r="N772" s="14"/>
      <c r="O772" s="14" t="s">
        <v>1279</v>
      </c>
      <c r="P772" s="14"/>
    </row>
    <row r="773" customFormat="false" ht="22.35" hidden="false" customHeight="false" outlineLevel="0" collapsed="false">
      <c r="A773" s="14" t="s">
        <v>2729</v>
      </c>
      <c r="B773" s="14" t="s">
        <v>2730</v>
      </c>
      <c r="C773" s="14"/>
      <c r="D773" s="14" t="s">
        <v>8</v>
      </c>
      <c r="E773" s="14" t="s">
        <v>2013</v>
      </c>
      <c r="F773" s="14"/>
      <c r="G773" s="14" t="s">
        <v>63</v>
      </c>
      <c r="H773" s="14" t="s">
        <v>1278</v>
      </c>
      <c r="I773" s="14" t="s">
        <v>1256</v>
      </c>
      <c r="J773" s="14"/>
      <c r="K773" s="14"/>
      <c r="L773" s="14"/>
      <c r="M773" s="14"/>
      <c r="N773" s="14"/>
      <c r="O773" s="14" t="s">
        <v>1279</v>
      </c>
      <c r="P773" s="14"/>
    </row>
    <row r="774" customFormat="false" ht="22.35" hidden="false" customHeight="false" outlineLevel="0" collapsed="false">
      <c r="A774" s="14" t="s">
        <v>2731</v>
      </c>
      <c r="B774" s="14" t="s">
        <v>2732</v>
      </c>
      <c r="C774" s="14"/>
      <c r="D774" s="14" t="s">
        <v>8</v>
      </c>
      <c r="E774" s="14" t="s">
        <v>2013</v>
      </c>
      <c r="F774" s="14"/>
      <c r="G774" s="14" t="s">
        <v>63</v>
      </c>
      <c r="H774" s="14" t="s">
        <v>1278</v>
      </c>
      <c r="I774" s="14" t="s">
        <v>1256</v>
      </c>
      <c r="J774" s="14"/>
      <c r="K774" s="14"/>
      <c r="L774" s="14"/>
      <c r="M774" s="14"/>
      <c r="N774" s="14"/>
      <c r="O774" s="14" t="s">
        <v>1279</v>
      </c>
      <c r="P774" s="14"/>
    </row>
    <row r="775" customFormat="false" ht="15" hidden="false" customHeight="false" outlineLevel="0" collapsed="false">
      <c r="A775" s="14" t="s">
        <v>2733</v>
      </c>
      <c r="B775" s="14" t="s">
        <v>2734</v>
      </c>
      <c r="C775" s="14"/>
      <c r="D775" s="14" t="s">
        <v>8</v>
      </c>
      <c r="E775" s="14" t="s">
        <v>2010</v>
      </c>
      <c r="F775" s="14"/>
      <c r="G775" s="14"/>
      <c r="H775" s="14" t="s">
        <v>1278</v>
      </c>
      <c r="I775" s="14" t="s">
        <v>1256</v>
      </c>
      <c r="J775" s="14"/>
      <c r="K775" s="14"/>
      <c r="L775" s="14"/>
      <c r="M775" s="14"/>
      <c r="N775" s="14"/>
      <c r="O775" s="14" t="s">
        <v>1279</v>
      </c>
      <c r="P775" s="14"/>
    </row>
    <row r="776" customFormat="false" ht="15" hidden="false" customHeight="false" outlineLevel="0" collapsed="false">
      <c r="A776" s="14" t="s">
        <v>2735</v>
      </c>
      <c r="B776" s="14" t="s">
        <v>2736</v>
      </c>
      <c r="C776" s="14"/>
      <c r="D776" s="14" t="s">
        <v>8</v>
      </c>
      <c r="E776" s="14" t="s">
        <v>2010</v>
      </c>
      <c r="F776" s="14"/>
      <c r="G776" s="14"/>
      <c r="H776" s="14" t="s">
        <v>1278</v>
      </c>
      <c r="I776" s="14" t="s">
        <v>1256</v>
      </c>
      <c r="J776" s="14"/>
      <c r="K776" s="14"/>
      <c r="L776" s="14"/>
      <c r="M776" s="14"/>
      <c r="N776" s="14"/>
      <c r="O776" s="14" t="s">
        <v>1279</v>
      </c>
      <c r="P776" s="14"/>
    </row>
    <row r="777" customFormat="false" ht="22.35" hidden="false" customHeight="false" outlineLevel="0" collapsed="false">
      <c r="A777" s="14" t="s">
        <v>2737</v>
      </c>
      <c r="B777" s="14" t="s">
        <v>2738</v>
      </c>
      <c r="C777" s="14" t="s">
        <v>2739</v>
      </c>
      <c r="D777" s="14" t="s">
        <v>8</v>
      </c>
      <c r="E777" s="14" t="s">
        <v>2013</v>
      </c>
      <c r="F777" s="14" t="s">
        <v>135</v>
      </c>
      <c r="G777" s="14" t="s">
        <v>63</v>
      </c>
      <c r="H777" s="14" t="s">
        <v>1278</v>
      </c>
      <c r="I777" s="14" t="s">
        <v>1256</v>
      </c>
      <c r="J777" s="14"/>
      <c r="K777" s="14"/>
      <c r="L777" s="14"/>
      <c r="M777" s="14"/>
      <c r="N777" s="14"/>
      <c r="O777" s="14" t="s">
        <v>1279</v>
      </c>
      <c r="P777" s="14"/>
    </row>
    <row r="778" customFormat="false" ht="15" hidden="false" customHeight="false" outlineLevel="0" collapsed="false">
      <c r="A778" s="14" t="s">
        <v>2740</v>
      </c>
      <c r="B778" s="14" t="s">
        <v>2741</v>
      </c>
      <c r="C778" s="14"/>
      <c r="D778" s="14" t="s">
        <v>8</v>
      </c>
      <c r="E778" s="14" t="s">
        <v>2010</v>
      </c>
      <c r="F778" s="14"/>
      <c r="G778" s="14"/>
      <c r="H778" s="14" t="s">
        <v>1278</v>
      </c>
      <c r="I778" s="14" t="s">
        <v>1256</v>
      </c>
      <c r="J778" s="14"/>
      <c r="K778" s="14"/>
      <c r="L778" s="14"/>
      <c r="M778" s="14"/>
      <c r="N778" s="14"/>
      <c r="O778" s="14" t="s">
        <v>1279</v>
      </c>
      <c r="P778" s="14"/>
    </row>
    <row r="779" customFormat="false" ht="22.35" hidden="false" customHeight="false" outlineLevel="0" collapsed="false">
      <c r="A779" s="14" t="s">
        <v>2742</v>
      </c>
      <c r="B779" s="14" t="s">
        <v>2743</v>
      </c>
      <c r="C779" s="14"/>
      <c r="D779" s="14" t="s">
        <v>8</v>
      </c>
      <c r="E779" s="14" t="s">
        <v>2013</v>
      </c>
      <c r="F779" s="14"/>
      <c r="G779" s="14" t="s">
        <v>63</v>
      </c>
      <c r="H779" s="14" t="s">
        <v>1278</v>
      </c>
      <c r="I779" s="14" t="s">
        <v>1256</v>
      </c>
      <c r="J779" s="14"/>
      <c r="K779" s="14"/>
      <c r="L779" s="14"/>
      <c r="M779" s="14"/>
      <c r="N779" s="14"/>
      <c r="O779" s="14" t="s">
        <v>1279</v>
      </c>
      <c r="P779" s="14"/>
    </row>
    <row r="780" customFormat="false" ht="85.05" hidden="false" customHeight="false" outlineLevel="0" collapsed="false">
      <c r="A780" s="14" t="s">
        <v>2744</v>
      </c>
      <c r="B780" s="14" t="s">
        <v>2745</v>
      </c>
      <c r="C780" s="14"/>
      <c r="D780" s="14" t="s">
        <v>8</v>
      </c>
      <c r="E780" s="14" t="s">
        <v>2013</v>
      </c>
      <c r="F780" s="14"/>
      <c r="G780" s="14" t="s">
        <v>2746</v>
      </c>
      <c r="H780" s="14" t="s">
        <v>1278</v>
      </c>
      <c r="I780" s="14" t="s">
        <v>1256</v>
      </c>
      <c r="J780" s="14"/>
      <c r="K780" s="14"/>
      <c r="L780" s="14"/>
      <c r="M780" s="14"/>
      <c r="N780" s="14"/>
      <c r="O780" s="14" t="s">
        <v>1279</v>
      </c>
      <c r="P780" s="14"/>
    </row>
    <row r="781" customFormat="false" ht="15" hidden="false" customHeight="false" outlineLevel="0" collapsed="false">
      <c r="A781" s="14" t="s">
        <v>2747</v>
      </c>
      <c r="B781" s="14" t="s">
        <v>2748</v>
      </c>
      <c r="C781" s="14"/>
      <c r="D781" s="14" t="s">
        <v>8</v>
      </c>
      <c r="E781" s="14" t="s">
        <v>2010</v>
      </c>
      <c r="F781" s="14"/>
      <c r="G781" s="14"/>
      <c r="H781" s="14" t="s">
        <v>1278</v>
      </c>
      <c r="I781" s="14" t="s">
        <v>1256</v>
      </c>
      <c r="J781" s="14"/>
      <c r="K781" s="14"/>
      <c r="L781" s="14"/>
      <c r="M781" s="14"/>
      <c r="N781" s="14"/>
      <c r="O781" s="14" t="s">
        <v>1279</v>
      </c>
      <c r="P781" s="14"/>
    </row>
    <row r="782" customFormat="false" ht="15" hidden="false" customHeight="false" outlineLevel="0" collapsed="false">
      <c r="A782" s="14" t="s">
        <v>2749</v>
      </c>
      <c r="B782" s="14" t="s">
        <v>2750</v>
      </c>
      <c r="C782" s="14"/>
      <c r="D782" s="14" t="s">
        <v>8</v>
      </c>
      <c r="E782" s="14" t="s">
        <v>2010</v>
      </c>
      <c r="F782" s="14"/>
      <c r="G782" s="14"/>
      <c r="H782" s="14" t="s">
        <v>1278</v>
      </c>
      <c r="I782" s="14" t="s">
        <v>1256</v>
      </c>
      <c r="J782" s="14"/>
      <c r="K782" s="14"/>
      <c r="L782" s="14"/>
      <c r="M782" s="14"/>
      <c r="N782" s="14"/>
      <c r="O782" s="14" t="s">
        <v>1279</v>
      </c>
      <c r="P782" s="14"/>
    </row>
    <row r="783" customFormat="false" ht="74.6" hidden="false" customHeight="false" outlineLevel="0" collapsed="false">
      <c r="A783" s="14" t="s">
        <v>2751</v>
      </c>
      <c r="B783" s="14" t="s">
        <v>2752</v>
      </c>
      <c r="C783" s="14"/>
      <c r="D783" s="14" t="s">
        <v>8</v>
      </c>
      <c r="E783" s="14" t="s">
        <v>2013</v>
      </c>
      <c r="F783" s="14"/>
      <c r="G783" s="14" t="s">
        <v>2753</v>
      </c>
      <c r="H783" s="14" t="s">
        <v>1278</v>
      </c>
      <c r="I783" s="14" t="s">
        <v>1256</v>
      </c>
      <c r="J783" s="14"/>
      <c r="K783" s="14"/>
      <c r="L783" s="14"/>
      <c r="M783" s="14"/>
      <c r="N783" s="14"/>
      <c r="O783" s="14" t="s">
        <v>1279</v>
      </c>
      <c r="P783" s="14"/>
    </row>
    <row r="784" customFormat="false" ht="15" hidden="false" customHeight="false" outlineLevel="0" collapsed="false">
      <c r="A784" s="14" t="s">
        <v>2754</v>
      </c>
      <c r="B784" s="14" t="s">
        <v>2755</v>
      </c>
      <c r="C784" s="14"/>
      <c r="D784" s="14" t="s">
        <v>8</v>
      </c>
      <c r="E784" s="14" t="s">
        <v>2010</v>
      </c>
      <c r="F784" s="14"/>
      <c r="G784" s="14" t="s">
        <v>63</v>
      </c>
      <c r="H784" s="14" t="s">
        <v>1278</v>
      </c>
      <c r="I784" s="14" t="s">
        <v>1256</v>
      </c>
      <c r="J784" s="14"/>
      <c r="K784" s="14"/>
      <c r="L784" s="14"/>
      <c r="M784" s="14"/>
      <c r="N784" s="14"/>
      <c r="O784" s="14" t="s">
        <v>1279</v>
      </c>
      <c r="P784" s="14"/>
    </row>
    <row r="785" customFormat="false" ht="22.35" hidden="false" customHeight="false" outlineLevel="0" collapsed="false">
      <c r="A785" s="14" t="s">
        <v>2756</v>
      </c>
      <c r="B785" s="14" t="s">
        <v>2757</v>
      </c>
      <c r="C785" s="14"/>
      <c r="D785" s="14" t="s">
        <v>8</v>
      </c>
      <c r="E785" s="14" t="s">
        <v>2013</v>
      </c>
      <c r="F785" s="14"/>
      <c r="G785" s="14" t="s">
        <v>63</v>
      </c>
      <c r="H785" s="14" t="s">
        <v>1278</v>
      </c>
      <c r="I785" s="14" t="s">
        <v>1256</v>
      </c>
      <c r="J785" s="14"/>
      <c r="K785" s="14"/>
      <c r="L785" s="14"/>
      <c r="M785" s="14"/>
      <c r="N785" s="14"/>
      <c r="O785" s="14" t="s">
        <v>1279</v>
      </c>
      <c r="P785" s="14"/>
    </row>
    <row r="786" customFormat="false" ht="15" hidden="false" customHeight="false" outlineLevel="0" collapsed="false">
      <c r="A786" s="14" t="s">
        <v>2758</v>
      </c>
      <c r="B786" s="14" t="s">
        <v>2759</v>
      </c>
      <c r="C786" s="14"/>
      <c r="D786" s="14" t="s">
        <v>8</v>
      </c>
      <c r="E786" s="14" t="s">
        <v>2010</v>
      </c>
      <c r="F786" s="14"/>
      <c r="G786" s="14"/>
      <c r="H786" s="14" t="s">
        <v>1278</v>
      </c>
      <c r="I786" s="14" t="s">
        <v>1256</v>
      </c>
      <c r="J786" s="14"/>
      <c r="K786" s="14"/>
      <c r="L786" s="14"/>
      <c r="M786" s="14"/>
      <c r="N786" s="14"/>
      <c r="O786" s="14" t="s">
        <v>1279</v>
      </c>
      <c r="P786" s="14"/>
    </row>
    <row r="787" customFormat="false" ht="105.95" hidden="false" customHeight="false" outlineLevel="0" collapsed="false">
      <c r="A787" s="14" t="s">
        <v>2760</v>
      </c>
      <c r="B787" s="14" t="s">
        <v>2761</v>
      </c>
      <c r="C787" s="14"/>
      <c r="D787" s="14" t="s">
        <v>8</v>
      </c>
      <c r="E787" s="14" t="s">
        <v>2013</v>
      </c>
      <c r="F787" s="14"/>
      <c r="G787" s="14" t="s">
        <v>2762</v>
      </c>
      <c r="H787" s="14" t="s">
        <v>1278</v>
      </c>
      <c r="I787" s="14" t="s">
        <v>2026</v>
      </c>
      <c r="J787" s="14"/>
      <c r="K787" s="14"/>
      <c r="L787" s="14"/>
      <c r="M787" s="14"/>
      <c r="N787" s="14"/>
      <c r="O787" s="14" t="s">
        <v>1279</v>
      </c>
      <c r="P787" s="14"/>
    </row>
    <row r="788" customFormat="false" ht="22.35" hidden="false" customHeight="false" outlineLevel="0" collapsed="false">
      <c r="A788" s="14" t="s">
        <v>2763</v>
      </c>
      <c r="B788" s="14" t="s">
        <v>2764</v>
      </c>
      <c r="C788" s="14"/>
      <c r="D788" s="14" t="s">
        <v>8</v>
      </c>
      <c r="E788" s="14" t="s">
        <v>2013</v>
      </c>
      <c r="F788" s="14"/>
      <c r="G788" s="14" t="s">
        <v>63</v>
      </c>
      <c r="H788" s="14" t="s">
        <v>1278</v>
      </c>
      <c r="I788" s="14" t="s">
        <v>1256</v>
      </c>
      <c r="J788" s="14"/>
      <c r="K788" s="14"/>
      <c r="L788" s="14"/>
      <c r="M788" s="14"/>
      <c r="N788" s="14"/>
      <c r="O788" s="14" t="s">
        <v>1279</v>
      </c>
      <c r="P788" s="14"/>
    </row>
    <row r="789" customFormat="false" ht="22.35" hidden="false" customHeight="false" outlineLevel="0" collapsed="false">
      <c r="A789" s="14" t="s">
        <v>2765</v>
      </c>
      <c r="B789" s="14" t="s">
        <v>2766</v>
      </c>
      <c r="C789" s="14"/>
      <c r="D789" s="14" t="s">
        <v>8</v>
      </c>
      <c r="E789" s="14" t="s">
        <v>2013</v>
      </c>
      <c r="F789" s="14"/>
      <c r="G789" s="14" t="s">
        <v>63</v>
      </c>
      <c r="H789" s="14" t="s">
        <v>1278</v>
      </c>
      <c r="I789" s="14" t="s">
        <v>1256</v>
      </c>
      <c r="J789" s="14"/>
      <c r="K789" s="14"/>
      <c r="L789" s="14"/>
      <c r="M789" s="14"/>
      <c r="N789" s="14"/>
      <c r="O789" s="14" t="s">
        <v>1279</v>
      </c>
      <c r="P789" s="14"/>
    </row>
    <row r="790" customFormat="false" ht="15" hidden="false" customHeight="false" outlineLevel="0" collapsed="false">
      <c r="A790" s="14" t="s">
        <v>2767</v>
      </c>
      <c r="B790" s="14" t="s">
        <v>2768</v>
      </c>
      <c r="C790" s="14"/>
      <c r="D790" s="14" t="s">
        <v>8</v>
      </c>
      <c r="E790" s="14" t="s">
        <v>2010</v>
      </c>
      <c r="F790" s="14"/>
      <c r="G790" s="14" t="s">
        <v>63</v>
      </c>
      <c r="H790" s="14" t="s">
        <v>1278</v>
      </c>
      <c r="I790" s="14" t="s">
        <v>1256</v>
      </c>
      <c r="J790" s="14"/>
      <c r="K790" s="14"/>
      <c r="L790" s="14"/>
      <c r="M790" s="14"/>
      <c r="N790" s="14"/>
      <c r="O790" s="14" t="s">
        <v>1279</v>
      </c>
      <c r="P790" s="14"/>
    </row>
    <row r="791" customFormat="false" ht="22.35" hidden="false" customHeight="false" outlineLevel="0" collapsed="false">
      <c r="A791" s="14" t="s">
        <v>2769</v>
      </c>
      <c r="B791" s="14" t="s">
        <v>2770</v>
      </c>
      <c r="C791" s="14" t="s">
        <v>851</v>
      </c>
      <c r="D791" s="14" t="s">
        <v>8</v>
      </c>
      <c r="E791" s="14" t="s">
        <v>2013</v>
      </c>
      <c r="F791" s="14" t="s">
        <v>62</v>
      </c>
      <c r="G791" s="14" t="s">
        <v>63</v>
      </c>
      <c r="H791" s="14" t="s">
        <v>1278</v>
      </c>
      <c r="I791" s="14" t="s">
        <v>1256</v>
      </c>
      <c r="J791" s="14"/>
      <c r="K791" s="14"/>
      <c r="L791" s="14"/>
      <c r="M791" s="14"/>
      <c r="N791" s="14"/>
      <c r="O791" s="14" t="s">
        <v>1279</v>
      </c>
      <c r="P791" s="14"/>
    </row>
    <row r="792" customFormat="false" ht="15" hidden="false" customHeight="false" outlineLevel="0" collapsed="false">
      <c r="A792" s="14" t="s">
        <v>2771</v>
      </c>
      <c r="B792" s="14" t="s">
        <v>2772</v>
      </c>
      <c r="C792" s="14"/>
      <c r="D792" s="14" t="s">
        <v>8</v>
      </c>
      <c r="E792" s="14" t="s">
        <v>2010</v>
      </c>
      <c r="F792" s="14"/>
      <c r="G792" s="14" t="s">
        <v>215</v>
      </c>
      <c r="H792" s="14" t="s">
        <v>1278</v>
      </c>
      <c r="I792" s="14" t="s">
        <v>1291</v>
      </c>
      <c r="J792" s="14"/>
      <c r="K792" s="14"/>
      <c r="L792" s="14"/>
      <c r="M792" s="14"/>
      <c r="N792" s="14"/>
      <c r="O792" s="14" t="s">
        <v>1279</v>
      </c>
      <c r="P792" s="14"/>
    </row>
    <row r="793" customFormat="false" ht="53.7" hidden="false" customHeight="false" outlineLevel="0" collapsed="false">
      <c r="A793" s="14" t="s">
        <v>2773</v>
      </c>
      <c r="B793" s="14" t="s">
        <v>2774</v>
      </c>
      <c r="C793" s="14"/>
      <c r="D793" s="14" t="s">
        <v>8</v>
      </c>
      <c r="E793" s="14" t="s">
        <v>2013</v>
      </c>
      <c r="F793" s="14"/>
      <c r="G793" s="14" t="s">
        <v>2775</v>
      </c>
      <c r="H793" s="14" t="s">
        <v>1278</v>
      </c>
      <c r="I793" s="14" t="s">
        <v>2026</v>
      </c>
      <c r="J793" s="14"/>
      <c r="K793" s="14"/>
      <c r="L793" s="14"/>
      <c r="M793" s="14"/>
      <c r="N793" s="14"/>
      <c r="O793" s="14" t="s">
        <v>1279</v>
      </c>
      <c r="P793" s="14"/>
    </row>
    <row r="794" customFormat="false" ht="15" hidden="false" customHeight="false" outlineLevel="0" collapsed="false">
      <c r="A794" s="14" t="s">
        <v>2776</v>
      </c>
      <c r="B794" s="14" t="s">
        <v>2777</v>
      </c>
      <c r="C794" s="14"/>
      <c r="D794" s="14" t="s">
        <v>8</v>
      </c>
      <c r="E794" s="14" t="s">
        <v>2010</v>
      </c>
      <c r="F794" s="14"/>
      <c r="G794" s="14"/>
      <c r="H794" s="14" t="s">
        <v>1278</v>
      </c>
      <c r="I794" s="14" t="s">
        <v>1256</v>
      </c>
      <c r="J794" s="14"/>
      <c r="K794" s="14"/>
      <c r="L794" s="14"/>
      <c r="M794" s="14"/>
      <c r="N794" s="14"/>
      <c r="O794" s="14" t="s">
        <v>1279</v>
      </c>
      <c r="P794" s="14"/>
    </row>
    <row r="795" customFormat="false" ht="43.25" hidden="false" customHeight="false" outlineLevel="0" collapsed="false">
      <c r="A795" s="14" t="s">
        <v>2778</v>
      </c>
      <c r="B795" s="14" t="s">
        <v>2779</v>
      </c>
      <c r="C795" s="14"/>
      <c r="D795" s="14" t="s">
        <v>8</v>
      </c>
      <c r="E795" s="14" t="s">
        <v>2013</v>
      </c>
      <c r="F795" s="14"/>
      <c r="G795" s="14" t="s">
        <v>2780</v>
      </c>
      <c r="H795" s="14" t="s">
        <v>1278</v>
      </c>
      <c r="I795" s="14" t="s">
        <v>2026</v>
      </c>
      <c r="J795" s="14"/>
      <c r="K795" s="14"/>
      <c r="L795" s="14"/>
      <c r="M795" s="14"/>
      <c r="N795" s="14"/>
      <c r="O795" s="14" t="s">
        <v>1279</v>
      </c>
      <c r="P795" s="14"/>
    </row>
    <row r="796" customFormat="false" ht="43.25" hidden="false" customHeight="false" outlineLevel="0" collapsed="false">
      <c r="A796" s="14" t="s">
        <v>2781</v>
      </c>
      <c r="B796" s="14" t="s">
        <v>2782</v>
      </c>
      <c r="C796" s="14"/>
      <c r="D796" s="14" t="s">
        <v>8</v>
      </c>
      <c r="E796" s="14" t="s">
        <v>2013</v>
      </c>
      <c r="F796" s="14"/>
      <c r="G796" s="14" t="s">
        <v>2783</v>
      </c>
      <c r="H796" s="14" t="s">
        <v>1278</v>
      </c>
      <c r="I796" s="14" t="s">
        <v>2026</v>
      </c>
      <c r="J796" s="14"/>
      <c r="K796" s="14"/>
      <c r="L796" s="14"/>
      <c r="M796" s="14"/>
      <c r="N796" s="14"/>
      <c r="O796" s="14" t="s">
        <v>1279</v>
      </c>
      <c r="P796" s="14"/>
    </row>
    <row r="797" customFormat="false" ht="15" hidden="false" customHeight="false" outlineLevel="0" collapsed="false">
      <c r="A797" s="14" t="s">
        <v>2784</v>
      </c>
      <c r="B797" s="14" t="s">
        <v>2785</v>
      </c>
      <c r="C797" s="14"/>
      <c r="D797" s="14" t="s">
        <v>8</v>
      </c>
      <c r="E797" s="14" t="s">
        <v>2010</v>
      </c>
      <c r="F797" s="14"/>
      <c r="G797" s="14"/>
      <c r="H797" s="14" t="s">
        <v>1278</v>
      </c>
      <c r="I797" s="14" t="s">
        <v>1256</v>
      </c>
      <c r="J797" s="14"/>
      <c r="K797" s="14"/>
      <c r="L797" s="14"/>
      <c r="M797" s="14"/>
      <c r="N797" s="14"/>
      <c r="O797" s="14" t="s">
        <v>1279</v>
      </c>
      <c r="P797" s="14"/>
    </row>
    <row r="798" customFormat="false" ht="15" hidden="false" customHeight="false" outlineLevel="0" collapsed="false">
      <c r="A798" s="14" t="s">
        <v>2786</v>
      </c>
      <c r="B798" s="14" t="s">
        <v>2787</v>
      </c>
      <c r="C798" s="14"/>
      <c r="D798" s="14" t="s">
        <v>8</v>
      </c>
      <c r="E798" s="14" t="s">
        <v>2010</v>
      </c>
      <c r="F798" s="14"/>
      <c r="G798" s="14"/>
      <c r="H798" s="14" t="s">
        <v>1278</v>
      </c>
      <c r="I798" s="14" t="s">
        <v>1256</v>
      </c>
      <c r="J798" s="14"/>
      <c r="K798" s="14"/>
      <c r="L798" s="14"/>
      <c r="M798" s="14"/>
      <c r="N798" s="14"/>
      <c r="O798" s="14" t="s">
        <v>1279</v>
      </c>
      <c r="P798" s="14"/>
    </row>
    <row r="799" customFormat="false" ht="15" hidden="false" customHeight="false" outlineLevel="0" collapsed="false">
      <c r="A799" s="14" t="s">
        <v>2788</v>
      </c>
      <c r="B799" s="14" t="s">
        <v>2789</v>
      </c>
      <c r="C799" s="14"/>
      <c r="D799" s="14" t="s">
        <v>8</v>
      </c>
      <c r="E799" s="14" t="s">
        <v>2010</v>
      </c>
      <c r="F799" s="14"/>
      <c r="G799" s="14"/>
      <c r="H799" s="14" t="s">
        <v>1278</v>
      </c>
      <c r="I799" s="14" t="s">
        <v>1256</v>
      </c>
      <c r="J799" s="14"/>
      <c r="K799" s="14"/>
      <c r="L799" s="14"/>
      <c r="M799" s="14"/>
      <c r="N799" s="14"/>
      <c r="O799" s="14" t="s">
        <v>1279</v>
      </c>
      <c r="P799" s="14"/>
    </row>
    <row r="800" customFormat="false" ht="126.85" hidden="false" customHeight="false" outlineLevel="0" collapsed="false">
      <c r="A800" s="14" t="s">
        <v>2790</v>
      </c>
      <c r="B800" s="14" t="s">
        <v>2791</v>
      </c>
      <c r="C800" s="14"/>
      <c r="D800" s="14" t="s">
        <v>8</v>
      </c>
      <c r="E800" s="14" t="s">
        <v>2010</v>
      </c>
      <c r="F800" s="14"/>
      <c r="G800" s="14" t="s">
        <v>2792</v>
      </c>
      <c r="H800" s="14" t="s">
        <v>1278</v>
      </c>
      <c r="I800" s="14" t="s">
        <v>2026</v>
      </c>
      <c r="J800" s="14"/>
      <c r="K800" s="14"/>
      <c r="L800" s="14"/>
      <c r="M800" s="14"/>
      <c r="N800" s="14"/>
      <c r="O800" s="14" t="s">
        <v>1279</v>
      </c>
      <c r="P800" s="14"/>
    </row>
    <row r="801" customFormat="false" ht="15" hidden="false" customHeight="false" outlineLevel="0" collapsed="false">
      <c r="A801" s="14" t="s">
        <v>2793</v>
      </c>
      <c r="B801" s="14" t="s">
        <v>2794</v>
      </c>
      <c r="C801" s="14"/>
      <c r="D801" s="14" t="s">
        <v>8</v>
      </c>
      <c r="E801" s="14" t="s">
        <v>2010</v>
      </c>
      <c r="F801" s="14"/>
      <c r="G801" s="14"/>
      <c r="H801" s="14" t="s">
        <v>1278</v>
      </c>
      <c r="I801" s="14" t="s">
        <v>1256</v>
      </c>
      <c r="J801" s="14"/>
      <c r="K801" s="14"/>
      <c r="L801" s="14"/>
      <c r="M801" s="14"/>
      <c r="N801" s="14"/>
      <c r="O801" s="14" t="s">
        <v>1279</v>
      </c>
      <c r="P801" s="14"/>
    </row>
    <row r="802" customFormat="false" ht="22.35" hidden="false" customHeight="false" outlineLevel="0" collapsed="false">
      <c r="A802" s="14" t="s">
        <v>2795</v>
      </c>
      <c r="B802" s="14" t="s">
        <v>2796</v>
      </c>
      <c r="C802" s="14"/>
      <c r="D802" s="14" t="s">
        <v>8</v>
      </c>
      <c r="E802" s="14" t="s">
        <v>2013</v>
      </c>
      <c r="F802" s="14"/>
      <c r="G802" s="14" t="s">
        <v>63</v>
      </c>
      <c r="H802" s="14" t="s">
        <v>1278</v>
      </c>
      <c r="I802" s="14" t="s">
        <v>1256</v>
      </c>
      <c r="J802" s="14"/>
      <c r="K802" s="14"/>
      <c r="L802" s="14"/>
      <c r="M802" s="14"/>
      <c r="N802" s="14"/>
      <c r="O802" s="14" t="s">
        <v>1279</v>
      </c>
      <c r="P802" s="14"/>
    </row>
    <row r="803" customFormat="false" ht="85.05" hidden="false" customHeight="false" outlineLevel="0" collapsed="false">
      <c r="A803" s="14" t="s">
        <v>2797</v>
      </c>
      <c r="B803" s="14" t="s">
        <v>2798</v>
      </c>
      <c r="C803" s="14"/>
      <c r="D803" s="14" t="s">
        <v>8</v>
      </c>
      <c r="E803" s="14" t="s">
        <v>2010</v>
      </c>
      <c r="F803" s="14"/>
      <c r="G803" s="14" t="s">
        <v>2799</v>
      </c>
      <c r="H803" s="14" t="s">
        <v>1278</v>
      </c>
      <c r="I803" s="14" t="s">
        <v>2026</v>
      </c>
      <c r="J803" s="14"/>
      <c r="K803" s="14"/>
      <c r="L803" s="14"/>
      <c r="M803" s="14"/>
      <c r="N803" s="14"/>
      <c r="O803" s="14" t="s">
        <v>1279</v>
      </c>
      <c r="P803" s="14"/>
    </row>
    <row r="804" customFormat="false" ht="22.35" hidden="false" customHeight="false" outlineLevel="0" collapsed="false">
      <c r="A804" s="14" t="s">
        <v>2800</v>
      </c>
      <c r="B804" s="14" t="s">
        <v>2801</v>
      </c>
      <c r="C804" s="14"/>
      <c r="D804" s="14" t="s">
        <v>8</v>
      </c>
      <c r="E804" s="14" t="s">
        <v>2013</v>
      </c>
      <c r="F804" s="14"/>
      <c r="G804" s="14" t="s">
        <v>63</v>
      </c>
      <c r="H804" s="14" t="s">
        <v>1278</v>
      </c>
      <c r="I804" s="14" t="s">
        <v>1256</v>
      </c>
      <c r="J804" s="14"/>
      <c r="K804" s="14"/>
      <c r="L804" s="14"/>
      <c r="M804" s="14"/>
      <c r="N804" s="14"/>
      <c r="O804" s="14" t="s">
        <v>1279</v>
      </c>
      <c r="P804" s="14"/>
    </row>
    <row r="805" customFormat="false" ht="15" hidden="false" customHeight="false" outlineLevel="0" collapsed="false">
      <c r="A805" s="14" t="s">
        <v>2802</v>
      </c>
      <c r="B805" s="14" t="s">
        <v>2803</v>
      </c>
      <c r="C805" s="14"/>
      <c r="D805" s="14" t="s">
        <v>8</v>
      </c>
      <c r="E805" s="14" t="s">
        <v>2054</v>
      </c>
      <c r="F805" s="14"/>
      <c r="G805" s="14"/>
      <c r="H805" s="14" t="s">
        <v>1278</v>
      </c>
      <c r="I805" s="14" t="s">
        <v>1107</v>
      </c>
      <c r="J805" s="14"/>
      <c r="K805" s="14"/>
      <c r="L805" s="14"/>
      <c r="M805" s="14"/>
      <c r="N805" s="14"/>
      <c r="O805" s="14" t="s">
        <v>1279</v>
      </c>
      <c r="P805" s="14"/>
    </row>
    <row r="806" customFormat="false" ht="53.7" hidden="false" customHeight="false" outlineLevel="0" collapsed="false">
      <c r="A806" s="14" t="s">
        <v>2804</v>
      </c>
      <c r="B806" s="14" t="s">
        <v>2805</v>
      </c>
      <c r="C806" s="14"/>
      <c r="D806" s="14" t="s">
        <v>8</v>
      </c>
      <c r="E806" s="14" t="s">
        <v>2010</v>
      </c>
      <c r="F806" s="14"/>
      <c r="G806" s="14" t="s">
        <v>2806</v>
      </c>
      <c r="H806" s="14" t="s">
        <v>1278</v>
      </c>
      <c r="I806" s="14" t="s">
        <v>2026</v>
      </c>
      <c r="J806" s="14"/>
      <c r="K806" s="14"/>
      <c r="L806" s="14"/>
      <c r="M806" s="14"/>
      <c r="N806" s="14"/>
      <c r="O806" s="14" t="s">
        <v>1279</v>
      </c>
      <c r="P806" s="14"/>
    </row>
    <row r="807" customFormat="false" ht="22.35" hidden="false" customHeight="false" outlineLevel="0" collapsed="false">
      <c r="A807" s="14" t="s">
        <v>2807</v>
      </c>
      <c r="B807" s="14" t="s">
        <v>2808</v>
      </c>
      <c r="C807" s="14"/>
      <c r="D807" s="14" t="s">
        <v>8</v>
      </c>
      <c r="E807" s="14" t="s">
        <v>2013</v>
      </c>
      <c r="F807" s="14"/>
      <c r="G807" s="14" t="s">
        <v>63</v>
      </c>
      <c r="H807" s="14" t="s">
        <v>1278</v>
      </c>
      <c r="I807" s="14" t="s">
        <v>1256</v>
      </c>
      <c r="J807" s="14"/>
      <c r="K807" s="14"/>
      <c r="L807" s="14"/>
      <c r="M807" s="14"/>
      <c r="N807" s="14"/>
      <c r="O807" s="14" t="s">
        <v>1279</v>
      </c>
      <c r="P807" s="14"/>
    </row>
    <row r="808" customFormat="false" ht="116.4" hidden="false" customHeight="false" outlineLevel="0" collapsed="false">
      <c r="A808" s="14" t="s">
        <v>2809</v>
      </c>
      <c r="B808" s="14" t="s">
        <v>2810</v>
      </c>
      <c r="C808" s="14"/>
      <c r="D808" s="14" t="s">
        <v>8</v>
      </c>
      <c r="E808" s="14" t="s">
        <v>2013</v>
      </c>
      <c r="F808" s="14"/>
      <c r="G808" s="14" t="s">
        <v>2811</v>
      </c>
      <c r="H808" s="14" t="s">
        <v>1278</v>
      </c>
      <c r="I808" s="14" t="s">
        <v>2026</v>
      </c>
      <c r="J808" s="14"/>
      <c r="K808" s="14"/>
      <c r="L808" s="14"/>
      <c r="M808" s="14"/>
      <c r="N808" s="14"/>
      <c r="O808" s="14" t="s">
        <v>1279</v>
      </c>
      <c r="P808" s="14"/>
    </row>
    <row r="809" customFormat="false" ht="22.35" hidden="false" customHeight="false" outlineLevel="0" collapsed="false">
      <c r="A809" s="14" t="s">
        <v>2812</v>
      </c>
      <c r="B809" s="14" t="s">
        <v>2813</v>
      </c>
      <c r="C809" s="14"/>
      <c r="D809" s="14" t="s">
        <v>8</v>
      </c>
      <c r="E809" s="14" t="s">
        <v>2013</v>
      </c>
      <c r="F809" s="14"/>
      <c r="G809" s="14" t="s">
        <v>63</v>
      </c>
      <c r="H809" s="14" t="s">
        <v>1278</v>
      </c>
      <c r="I809" s="14" t="s">
        <v>1256</v>
      </c>
      <c r="J809" s="14"/>
      <c r="K809" s="14"/>
      <c r="L809" s="14"/>
      <c r="M809" s="14"/>
      <c r="N809" s="14"/>
      <c r="O809" s="14" t="s">
        <v>1279</v>
      </c>
      <c r="P809" s="14"/>
    </row>
    <row r="810" customFormat="false" ht="22.35" hidden="false" customHeight="false" outlineLevel="0" collapsed="false">
      <c r="A810" s="14" t="s">
        <v>2814</v>
      </c>
      <c r="B810" s="14" t="s">
        <v>2815</v>
      </c>
      <c r="C810" s="14"/>
      <c r="D810" s="14" t="s">
        <v>8</v>
      </c>
      <c r="E810" s="14" t="s">
        <v>2013</v>
      </c>
      <c r="F810" s="14"/>
      <c r="G810" s="14" t="s">
        <v>63</v>
      </c>
      <c r="H810" s="14" t="s">
        <v>1278</v>
      </c>
      <c r="I810" s="14" t="s">
        <v>1256</v>
      </c>
      <c r="J810" s="14"/>
      <c r="K810" s="14"/>
      <c r="L810" s="14"/>
      <c r="M810" s="14"/>
      <c r="N810" s="14"/>
      <c r="O810" s="14" t="s">
        <v>1279</v>
      </c>
      <c r="P810" s="14"/>
    </row>
    <row r="811" customFormat="false" ht="64.15" hidden="false" customHeight="false" outlineLevel="0" collapsed="false">
      <c r="A811" s="14" t="s">
        <v>2816</v>
      </c>
      <c r="B811" s="14" t="s">
        <v>2817</v>
      </c>
      <c r="C811" s="14"/>
      <c r="D811" s="14" t="s">
        <v>8</v>
      </c>
      <c r="E811" s="14" t="s">
        <v>2010</v>
      </c>
      <c r="F811" s="14"/>
      <c r="G811" s="14" t="s">
        <v>2818</v>
      </c>
      <c r="H811" s="14" t="s">
        <v>1278</v>
      </c>
      <c r="I811" s="14" t="s">
        <v>1256</v>
      </c>
      <c r="J811" s="14"/>
      <c r="K811" s="14"/>
      <c r="L811" s="14"/>
      <c r="M811" s="14"/>
      <c r="N811" s="14"/>
      <c r="O811" s="14" t="s">
        <v>1279</v>
      </c>
      <c r="P811" s="14"/>
    </row>
    <row r="812" customFormat="false" ht="15" hidden="false" customHeight="false" outlineLevel="0" collapsed="false">
      <c r="A812" s="14" t="s">
        <v>2819</v>
      </c>
      <c r="B812" s="14" t="s">
        <v>2820</v>
      </c>
      <c r="C812" s="14"/>
      <c r="D812" s="14" t="s">
        <v>8</v>
      </c>
      <c r="E812" s="14" t="s">
        <v>2054</v>
      </c>
      <c r="F812" s="14"/>
      <c r="G812" s="14" t="s">
        <v>77</v>
      </c>
      <c r="H812" s="14" t="s">
        <v>1278</v>
      </c>
      <c r="I812" s="14" t="s">
        <v>1107</v>
      </c>
      <c r="J812" s="14"/>
      <c r="K812" s="14"/>
      <c r="L812" s="14"/>
      <c r="M812" s="14"/>
      <c r="N812" s="14"/>
      <c r="O812" s="14" t="s">
        <v>1279</v>
      </c>
      <c r="P812" s="14"/>
    </row>
    <row r="813" customFormat="false" ht="22.35" hidden="false" customHeight="false" outlineLevel="0" collapsed="false">
      <c r="A813" s="14" t="s">
        <v>2821</v>
      </c>
      <c r="B813" s="14" t="s">
        <v>2822</v>
      </c>
      <c r="C813" s="14"/>
      <c r="D813" s="14" t="s">
        <v>8</v>
      </c>
      <c r="E813" s="14" t="s">
        <v>2013</v>
      </c>
      <c r="F813" s="14"/>
      <c r="G813" s="14" t="s">
        <v>63</v>
      </c>
      <c r="H813" s="14" t="s">
        <v>1278</v>
      </c>
      <c r="I813" s="14" t="s">
        <v>1256</v>
      </c>
      <c r="J813" s="14"/>
      <c r="K813" s="14"/>
      <c r="L813" s="14"/>
      <c r="M813" s="14"/>
      <c r="N813" s="14"/>
      <c r="O813" s="14" t="s">
        <v>1279</v>
      </c>
      <c r="P813" s="14"/>
    </row>
    <row r="814" customFormat="false" ht="22.35" hidden="false" customHeight="false" outlineLevel="0" collapsed="false">
      <c r="A814" s="14" t="s">
        <v>2823</v>
      </c>
      <c r="B814" s="14" t="s">
        <v>2824</v>
      </c>
      <c r="C814" s="14"/>
      <c r="D814" s="14" t="s">
        <v>8</v>
      </c>
      <c r="E814" s="14" t="s">
        <v>2013</v>
      </c>
      <c r="F814" s="14"/>
      <c r="G814" s="14" t="s">
        <v>63</v>
      </c>
      <c r="H814" s="14" t="s">
        <v>1278</v>
      </c>
      <c r="I814" s="14" t="s">
        <v>1256</v>
      </c>
      <c r="J814" s="14"/>
      <c r="K814" s="14"/>
      <c r="L814" s="14"/>
      <c r="M814" s="14"/>
      <c r="N814" s="14"/>
      <c r="O814" s="14" t="s">
        <v>1279</v>
      </c>
      <c r="P814" s="14"/>
    </row>
    <row r="815" customFormat="false" ht="22.35" hidden="false" customHeight="false" outlineLevel="0" collapsed="false">
      <c r="A815" s="14" t="s">
        <v>2825</v>
      </c>
      <c r="B815" s="14" t="s">
        <v>2826</v>
      </c>
      <c r="C815" s="14"/>
      <c r="D815" s="14" t="s">
        <v>8</v>
      </c>
      <c r="E815" s="14" t="s">
        <v>2013</v>
      </c>
      <c r="F815" s="14"/>
      <c r="G815" s="14" t="s">
        <v>63</v>
      </c>
      <c r="H815" s="14" t="s">
        <v>1278</v>
      </c>
      <c r="I815" s="14" t="s">
        <v>1256</v>
      </c>
      <c r="J815" s="14"/>
      <c r="K815" s="14"/>
      <c r="L815" s="14"/>
      <c r="M815" s="14"/>
      <c r="N815" s="14"/>
      <c r="O815" s="14" t="s">
        <v>1279</v>
      </c>
      <c r="P815" s="14"/>
    </row>
    <row r="816" customFormat="false" ht="22.35" hidden="false" customHeight="false" outlineLevel="0" collapsed="false">
      <c r="A816" s="14" t="s">
        <v>2827</v>
      </c>
      <c r="B816" s="14" t="s">
        <v>2828</v>
      </c>
      <c r="C816" s="14"/>
      <c r="D816" s="14" t="s">
        <v>8</v>
      </c>
      <c r="E816" s="14" t="s">
        <v>2013</v>
      </c>
      <c r="F816" s="14"/>
      <c r="G816" s="14" t="s">
        <v>63</v>
      </c>
      <c r="H816" s="14" t="s">
        <v>1278</v>
      </c>
      <c r="I816" s="14" t="s">
        <v>1256</v>
      </c>
      <c r="J816" s="14"/>
      <c r="K816" s="14"/>
      <c r="L816" s="14"/>
      <c r="M816" s="14"/>
      <c r="N816" s="14"/>
      <c r="O816" s="14" t="s">
        <v>1279</v>
      </c>
      <c r="P816" s="14"/>
    </row>
    <row r="817" customFormat="false" ht="15" hidden="false" customHeight="false" outlineLevel="0" collapsed="false">
      <c r="A817" s="14" t="s">
        <v>2829</v>
      </c>
      <c r="B817" s="14" t="s">
        <v>2830</v>
      </c>
      <c r="C817" s="14"/>
      <c r="D817" s="14" t="s">
        <v>8</v>
      </c>
      <c r="E817" s="14" t="s">
        <v>2010</v>
      </c>
      <c r="F817" s="14"/>
      <c r="G817" s="14"/>
      <c r="H817" s="14" t="s">
        <v>1278</v>
      </c>
      <c r="I817" s="14" t="s">
        <v>1256</v>
      </c>
      <c r="J817" s="14"/>
      <c r="K817" s="14"/>
      <c r="L817" s="14"/>
      <c r="M817" s="14"/>
      <c r="N817" s="14"/>
      <c r="O817" s="14" t="s">
        <v>1279</v>
      </c>
      <c r="P817" s="14"/>
    </row>
    <row r="818" customFormat="false" ht="22.35" hidden="false" customHeight="false" outlineLevel="0" collapsed="false">
      <c r="A818" s="14" t="s">
        <v>2831</v>
      </c>
      <c r="B818" s="14" t="s">
        <v>2832</v>
      </c>
      <c r="C818" s="14"/>
      <c r="D818" s="14" t="s">
        <v>8</v>
      </c>
      <c r="E818" s="14" t="s">
        <v>2013</v>
      </c>
      <c r="F818" s="14"/>
      <c r="G818" s="14" t="s">
        <v>63</v>
      </c>
      <c r="H818" s="14" t="s">
        <v>1278</v>
      </c>
      <c r="I818" s="14" t="s">
        <v>1256</v>
      </c>
      <c r="J818" s="14"/>
      <c r="K818" s="14"/>
      <c r="L818" s="14"/>
      <c r="M818" s="14"/>
      <c r="N818" s="14"/>
      <c r="O818" s="14" t="s">
        <v>1279</v>
      </c>
      <c r="P818" s="14"/>
    </row>
    <row r="819" customFormat="false" ht="22.35" hidden="false" customHeight="false" outlineLevel="0" collapsed="false">
      <c r="A819" s="14" t="s">
        <v>2833</v>
      </c>
      <c r="B819" s="14" t="s">
        <v>2834</v>
      </c>
      <c r="C819" s="14"/>
      <c r="D819" s="14" t="s">
        <v>8</v>
      </c>
      <c r="E819" s="14" t="s">
        <v>2013</v>
      </c>
      <c r="F819" s="14"/>
      <c r="G819" s="14" t="s">
        <v>63</v>
      </c>
      <c r="H819" s="14" t="s">
        <v>1278</v>
      </c>
      <c r="I819" s="14" t="s">
        <v>1256</v>
      </c>
      <c r="J819" s="14"/>
      <c r="K819" s="14"/>
      <c r="L819" s="14"/>
      <c r="M819" s="14"/>
      <c r="N819" s="14"/>
      <c r="O819" s="14" t="s">
        <v>1279</v>
      </c>
      <c r="P819" s="14"/>
    </row>
    <row r="820" customFormat="false" ht="15" hidden="false" customHeight="false" outlineLevel="0" collapsed="false">
      <c r="A820" s="14" t="s">
        <v>2835</v>
      </c>
      <c r="B820" s="14" t="s">
        <v>2836</v>
      </c>
      <c r="C820" s="14"/>
      <c r="D820" s="14" t="s">
        <v>8</v>
      </c>
      <c r="E820" s="14" t="s">
        <v>2010</v>
      </c>
      <c r="F820" s="14"/>
      <c r="G820" s="14"/>
      <c r="H820" s="14" t="s">
        <v>1278</v>
      </c>
      <c r="I820" s="14" t="s">
        <v>1256</v>
      </c>
      <c r="J820" s="14"/>
      <c r="K820" s="14"/>
      <c r="L820" s="14"/>
      <c r="M820" s="14"/>
      <c r="N820" s="14"/>
      <c r="O820" s="14" t="s">
        <v>1279</v>
      </c>
      <c r="P820" s="14"/>
    </row>
    <row r="821" customFormat="false" ht="85.05" hidden="false" customHeight="false" outlineLevel="0" collapsed="false">
      <c r="A821" s="14" t="s">
        <v>2837</v>
      </c>
      <c r="B821" s="14" t="s">
        <v>2838</v>
      </c>
      <c r="C821" s="14"/>
      <c r="D821" s="14" t="s">
        <v>8</v>
      </c>
      <c r="E821" s="14" t="s">
        <v>2013</v>
      </c>
      <c r="F821" s="14"/>
      <c r="G821" s="14" t="s">
        <v>2839</v>
      </c>
      <c r="H821" s="14" t="s">
        <v>1278</v>
      </c>
      <c r="I821" s="14" t="s">
        <v>2026</v>
      </c>
      <c r="J821" s="14"/>
      <c r="K821" s="14"/>
      <c r="L821" s="14"/>
      <c r="M821" s="14"/>
      <c r="N821" s="14"/>
      <c r="O821" s="14" t="s">
        <v>1279</v>
      </c>
      <c r="P821" s="14"/>
    </row>
    <row r="822" customFormat="false" ht="43.25" hidden="false" customHeight="false" outlineLevel="0" collapsed="false">
      <c r="A822" s="14" t="s">
        <v>2840</v>
      </c>
      <c r="B822" s="14" t="s">
        <v>2841</v>
      </c>
      <c r="C822" s="14"/>
      <c r="D822" s="14" t="s">
        <v>8</v>
      </c>
      <c r="E822" s="14" t="s">
        <v>2013</v>
      </c>
      <c r="F822" s="14"/>
      <c r="G822" s="14" t="s">
        <v>2842</v>
      </c>
      <c r="H822" s="14" t="s">
        <v>1278</v>
      </c>
      <c r="I822" s="14" t="s">
        <v>1256</v>
      </c>
      <c r="J822" s="14"/>
      <c r="K822" s="14"/>
      <c r="L822" s="14"/>
      <c r="M822" s="14"/>
      <c r="N822" s="14"/>
      <c r="O822" s="14" t="s">
        <v>1279</v>
      </c>
      <c r="P822" s="14"/>
    </row>
    <row r="823" customFormat="false" ht="22.35" hidden="false" customHeight="false" outlineLevel="0" collapsed="false">
      <c r="A823" s="14" t="s">
        <v>2843</v>
      </c>
      <c r="B823" s="14" t="s">
        <v>2844</v>
      </c>
      <c r="C823" s="14"/>
      <c r="D823" s="14" t="s">
        <v>8</v>
      </c>
      <c r="E823" s="14" t="s">
        <v>2013</v>
      </c>
      <c r="F823" s="14"/>
      <c r="G823" s="14" t="s">
        <v>63</v>
      </c>
      <c r="H823" s="14" t="s">
        <v>1278</v>
      </c>
      <c r="I823" s="14" t="s">
        <v>1256</v>
      </c>
      <c r="J823" s="14"/>
      <c r="K823" s="14"/>
      <c r="L823" s="14"/>
      <c r="M823" s="14"/>
      <c r="N823" s="14"/>
      <c r="O823" s="14" t="s">
        <v>1279</v>
      </c>
      <c r="P823" s="14"/>
    </row>
    <row r="824" customFormat="false" ht="64.15" hidden="false" customHeight="false" outlineLevel="0" collapsed="false">
      <c r="A824" s="14" t="s">
        <v>2845</v>
      </c>
      <c r="B824" s="14" t="s">
        <v>2846</v>
      </c>
      <c r="C824" s="14"/>
      <c r="D824" s="14" t="s">
        <v>8</v>
      </c>
      <c r="E824" s="14" t="s">
        <v>2010</v>
      </c>
      <c r="F824" s="14"/>
      <c r="G824" s="14" t="s">
        <v>2847</v>
      </c>
      <c r="H824" s="14" t="s">
        <v>1278</v>
      </c>
      <c r="I824" s="14" t="s">
        <v>2026</v>
      </c>
      <c r="J824" s="14"/>
      <c r="K824" s="14"/>
      <c r="L824" s="14"/>
      <c r="M824" s="14"/>
      <c r="N824" s="14"/>
      <c r="O824" s="14" t="s">
        <v>1279</v>
      </c>
      <c r="P824" s="14"/>
    </row>
    <row r="825" customFormat="false" ht="15" hidden="false" customHeight="false" outlineLevel="0" collapsed="false">
      <c r="A825" s="14" t="s">
        <v>2848</v>
      </c>
      <c r="B825" s="14" t="s">
        <v>2849</v>
      </c>
      <c r="C825" s="14"/>
      <c r="D825" s="14" t="s">
        <v>8</v>
      </c>
      <c r="E825" s="14" t="s">
        <v>2010</v>
      </c>
      <c r="F825" s="14"/>
      <c r="G825" s="14"/>
      <c r="H825" s="14" t="s">
        <v>1278</v>
      </c>
      <c r="I825" s="14" t="s">
        <v>1256</v>
      </c>
      <c r="J825" s="14"/>
      <c r="K825" s="14"/>
      <c r="L825" s="14"/>
      <c r="M825" s="14"/>
      <c r="N825" s="14"/>
      <c r="O825" s="14" t="s">
        <v>1279</v>
      </c>
      <c r="P825" s="14"/>
    </row>
    <row r="826" customFormat="false" ht="64.15" hidden="false" customHeight="false" outlineLevel="0" collapsed="false">
      <c r="A826" s="14" t="s">
        <v>2850</v>
      </c>
      <c r="B826" s="14" t="s">
        <v>2851</v>
      </c>
      <c r="C826" s="14"/>
      <c r="D826" s="14" t="s">
        <v>8</v>
      </c>
      <c r="E826" s="14" t="s">
        <v>2010</v>
      </c>
      <c r="F826" s="14"/>
      <c r="G826" s="14" t="s">
        <v>2852</v>
      </c>
      <c r="H826" s="14" t="s">
        <v>1278</v>
      </c>
      <c r="I826" s="14" t="s">
        <v>2026</v>
      </c>
      <c r="J826" s="14"/>
      <c r="K826" s="14"/>
      <c r="L826" s="14"/>
      <c r="M826" s="14"/>
      <c r="N826" s="14"/>
      <c r="O826" s="14" t="s">
        <v>1279</v>
      </c>
      <c r="P826" s="14"/>
    </row>
    <row r="827" customFormat="false" ht="15" hidden="false" customHeight="false" outlineLevel="0" collapsed="false">
      <c r="A827" s="14" t="s">
        <v>2853</v>
      </c>
      <c r="B827" s="14" t="s">
        <v>2854</v>
      </c>
      <c r="C827" s="14"/>
      <c r="D827" s="14" t="s">
        <v>8</v>
      </c>
      <c r="E827" s="14" t="s">
        <v>2010</v>
      </c>
      <c r="F827" s="14"/>
      <c r="G827" s="14"/>
      <c r="H827" s="14" t="s">
        <v>1278</v>
      </c>
      <c r="I827" s="14" t="s">
        <v>1256</v>
      </c>
      <c r="J827" s="14"/>
      <c r="K827" s="14"/>
      <c r="L827" s="14"/>
      <c r="M827" s="14"/>
      <c r="N827" s="14"/>
      <c r="O827" s="14" t="s">
        <v>1279</v>
      </c>
      <c r="P827" s="14"/>
    </row>
    <row r="828" customFormat="false" ht="74.6" hidden="false" customHeight="false" outlineLevel="0" collapsed="false">
      <c r="A828" s="14" t="s">
        <v>2855</v>
      </c>
      <c r="B828" s="14" t="s">
        <v>2856</v>
      </c>
      <c r="C828" s="14"/>
      <c r="D828" s="14" t="s">
        <v>8</v>
      </c>
      <c r="E828" s="14" t="s">
        <v>2013</v>
      </c>
      <c r="F828" s="14"/>
      <c r="G828" s="14" t="s">
        <v>2857</v>
      </c>
      <c r="H828" s="14" t="s">
        <v>1278</v>
      </c>
      <c r="I828" s="14" t="s">
        <v>2026</v>
      </c>
      <c r="J828" s="14"/>
      <c r="K828" s="14"/>
      <c r="L828" s="14"/>
      <c r="M828" s="14"/>
      <c r="N828" s="14"/>
      <c r="O828" s="14" t="s">
        <v>1279</v>
      </c>
      <c r="P828" s="14"/>
    </row>
    <row r="829" customFormat="false" ht="15" hidden="false" customHeight="false" outlineLevel="0" collapsed="false">
      <c r="A829" s="14" t="s">
        <v>2858</v>
      </c>
      <c r="B829" s="14" t="s">
        <v>2859</v>
      </c>
      <c r="C829" s="14"/>
      <c r="D829" s="14" t="s">
        <v>8</v>
      </c>
      <c r="E829" s="14" t="s">
        <v>2010</v>
      </c>
      <c r="F829" s="14"/>
      <c r="G829" s="14"/>
      <c r="H829" s="14" t="s">
        <v>1278</v>
      </c>
      <c r="I829" s="14" t="s">
        <v>1256</v>
      </c>
      <c r="J829" s="14"/>
      <c r="K829" s="14"/>
      <c r="L829" s="14"/>
      <c r="M829" s="14"/>
      <c r="N829" s="14"/>
      <c r="O829" s="14" t="s">
        <v>1279</v>
      </c>
      <c r="P829" s="14"/>
    </row>
    <row r="830" customFormat="false" ht="95.5" hidden="false" customHeight="false" outlineLevel="0" collapsed="false">
      <c r="A830" s="14" t="s">
        <v>2860</v>
      </c>
      <c r="B830" s="14" t="s">
        <v>2861</v>
      </c>
      <c r="C830" s="14"/>
      <c r="D830" s="14" t="s">
        <v>8</v>
      </c>
      <c r="E830" s="14" t="s">
        <v>2013</v>
      </c>
      <c r="F830" s="14"/>
      <c r="G830" s="14" t="s">
        <v>2862</v>
      </c>
      <c r="H830" s="14" t="s">
        <v>1278</v>
      </c>
      <c r="I830" s="14" t="s">
        <v>2026</v>
      </c>
      <c r="J830" s="14"/>
      <c r="K830" s="14"/>
      <c r="L830" s="14"/>
      <c r="M830" s="14"/>
      <c r="N830" s="14"/>
      <c r="O830" s="14" t="s">
        <v>1279</v>
      </c>
      <c r="P830" s="14"/>
    </row>
    <row r="831" customFormat="false" ht="15" hidden="false" customHeight="false" outlineLevel="0" collapsed="false">
      <c r="A831" s="14" t="s">
        <v>2863</v>
      </c>
      <c r="B831" s="14" t="s">
        <v>2864</v>
      </c>
      <c r="C831" s="14"/>
      <c r="D831" s="14" t="s">
        <v>8</v>
      </c>
      <c r="E831" s="14" t="s">
        <v>2010</v>
      </c>
      <c r="F831" s="14"/>
      <c r="G831" s="14"/>
      <c r="H831" s="14" t="s">
        <v>1278</v>
      </c>
      <c r="I831" s="14" t="s">
        <v>1256</v>
      </c>
      <c r="J831" s="14"/>
      <c r="K831" s="14"/>
      <c r="L831" s="14"/>
      <c r="M831" s="14"/>
      <c r="N831" s="14"/>
      <c r="O831" s="14" t="s">
        <v>1279</v>
      </c>
      <c r="P831" s="14"/>
    </row>
    <row r="832" customFormat="false" ht="53.7" hidden="false" customHeight="false" outlineLevel="0" collapsed="false">
      <c r="A832" s="14" t="s">
        <v>2865</v>
      </c>
      <c r="B832" s="14" t="s">
        <v>2866</v>
      </c>
      <c r="C832" s="14"/>
      <c r="D832" s="14" t="s">
        <v>8</v>
      </c>
      <c r="E832" s="14" t="s">
        <v>2013</v>
      </c>
      <c r="F832" s="14"/>
      <c r="G832" s="14" t="s">
        <v>2867</v>
      </c>
      <c r="H832" s="14" t="s">
        <v>1278</v>
      </c>
      <c r="I832" s="14" t="s">
        <v>1256</v>
      </c>
      <c r="J832" s="14"/>
      <c r="K832" s="14"/>
      <c r="L832" s="14"/>
      <c r="M832" s="14"/>
      <c r="N832" s="14"/>
      <c r="O832" s="14" t="s">
        <v>1279</v>
      </c>
      <c r="P832" s="14"/>
    </row>
    <row r="833" customFormat="false" ht="15" hidden="false" customHeight="false" outlineLevel="0" collapsed="false">
      <c r="A833" s="14" t="s">
        <v>2868</v>
      </c>
      <c r="B833" s="14" t="s">
        <v>2869</v>
      </c>
      <c r="C833" s="14"/>
      <c r="D833" s="14" t="s">
        <v>8</v>
      </c>
      <c r="E833" s="14" t="s">
        <v>2010</v>
      </c>
      <c r="F833" s="14"/>
      <c r="G833" s="14"/>
      <c r="H833" s="14" t="s">
        <v>1278</v>
      </c>
      <c r="I833" s="14" t="s">
        <v>1256</v>
      </c>
      <c r="J833" s="14"/>
      <c r="K833" s="14"/>
      <c r="L833" s="14"/>
      <c r="M833" s="14"/>
      <c r="N833" s="14"/>
      <c r="O833" s="14" t="s">
        <v>1279</v>
      </c>
      <c r="P833" s="14"/>
    </row>
    <row r="834" customFormat="false" ht="74.6" hidden="false" customHeight="false" outlineLevel="0" collapsed="false">
      <c r="A834" s="14" t="s">
        <v>2870</v>
      </c>
      <c r="B834" s="14" t="s">
        <v>2871</v>
      </c>
      <c r="C834" s="14"/>
      <c r="D834" s="14" t="s">
        <v>8</v>
      </c>
      <c r="E834" s="14" t="s">
        <v>2013</v>
      </c>
      <c r="F834" s="14"/>
      <c r="G834" s="14" t="s">
        <v>2872</v>
      </c>
      <c r="H834" s="14" t="s">
        <v>1278</v>
      </c>
      <c r="I834" s="14" t="s">
        <v>1256</v>
      </c>
      <c r="J834" s="14"/>
      <c r="K834" s="14"/>
      <c r="L834" s="14"/>
      <c r="M834" s="14"/>
      <c r="N834" s="14"/>
      <c r="O834" s="14" t="s">
        <v>1279</v>
      </c>
      <c r="P834" s="14"/>
    </row>
    <row r="835" customFormat="false" ht="22.35" hidden="false" customHeight="false" outlineLevel="0" collapsed="false">
      <c r="A835" s="14" t="s">
        <v>2873</v>
      </c>
      <c r="B835" s="14" t="s">
        <v>2874</v>
      </c>
      <c r="C835" s="14" t="s">
        <v>407</v>
      </c>
      <c r="D835" s="14" t="s">
        <v>8</v>
      </c>
      <c r="E835" s="14" t="s">
        <v>2013</v>
      </c>
      <c r="F835" s="14" t="s">
        <v>135</v>
      </c>
      <c r="G835" s="14" t="s">
        <v>63</v>
      </c>
      <c r="H835" s="14" t="s">
        <v>1278</v>
      </c>
      <c r="I835" s="14" t="s">
        <v>1256</v>
      </c>
      <c r="J835" s="14"/>
      <c r="K835" s="14"/>
      <c r="L835" s="14"/>
      <c r="M835" s="14"/>
      <c r="N835" s="14"/>
      <c r="O835" s="14" t="s">
        <v>1279</v>
      </c>
      <c r="P835" s="14"/>
    </row>
    <row r="836" customFormat="false" ht="15" hidden="false" customHeight="false" outlineLevel="0" collapsed="false">
      <c r="A836" s="14" t="s">
        <v>2875</v>
      </c>
      <c r="B836" s="14" t="s">
        <v>2876</v>
      </c>
      <c r="C836" s="14"/>
      <c r="D836" s="14" t="s">
        <v>8</v>
      </c>
      <c r="E836" s="14" t="s">
        <v>2010</v>
      </c>
      <c r="F836" s="14"/>
      <c r="G836" s="14"/>
      <c r="H836" s="14" t="s">
        <v>1278</v>
      </c>
      <c r="I836" s="14" t="s">
        <v>1256</v>
      </c>
      <c r="J836" s="14"/>
      <c r="K836" s="14"/>
      <c r="L836" s="14"/>
      <c r="M836" s="14"/>
      <c r="N836" s="14"/>
      <c r="O836" s="14" t="s">
        <v>1279</v>
      </c>
      <c r="P836" s="14"/>
    </row>
    <row r="837" customFormat="false" ht="22.35" hidden="false" customHeight="false" outlineLevel="0" collapsed="false">
      <c r="A837" s="14" t="s">
        <v>2877</v>
      </c>
      <c r="B837" s="14" t="s">
        <v>2878</v>
      </c>
      <c r="C837" s="14"/>
      <c r="D837" s="14" t="s">
        <v>8</v>
      </c>
      <c r="E837" s="14" t="s">
        <v>2013</v>
      </c>
      <c r="F837" s="14"/>
      <c r="G837" s="14" t="s">
        <v>63</v>
      </c>
      <c r="H837" s="14" t="s">
        <v>1278</v>
      </c>
      <c r="I837" s="14" t="s">
        <v>1256</v>
      </c>
      <c r="J837" s="14"/>
      <c r="K837" s="14"/>
      <c r="L837" s="14"/>
      <c r="M837" s="14"/>
      <c r="N837" s="14"/>
      <c r="O837" s="14" t="s">
        <v>1279</v>
      </c>
      <c r="P837" s="14"/>
    </row>
    <row r="838" customFormat="false" ht="74.6" hidden="false" customHeight="false" outlineLevel="0" collapsed="false">
      <c r="A838" s="14" t="s">
        <v>2879</v>
      </c>
      <c r="B838" s="14" t="s">
        <v>2880</v>
      </c>
      <c r="C838" s="14"/>
      <c r="D838" s="14" t="s">
        <v>8</v>
      </c>
      <c r="E838" s="14" t="s">
        <v>2010</v>
      </c>
      <c r="F838" s="14"/>
      <c r="G838" s="14" t="s">
        <v>2881</v>
      </c>
      <c r="H838" s="14" t="s">
        <v>1278</v>
      </c>
      <c r="I838" s="14" t="s">
        <v>1256</v>
      </c>
      <c r="J838" s="14"/>
      <c r="K838" s="14"/>
      <c r="L838" s="14"/>
      <c r="M838" s="14"/>
      <c r="N838" s="14"/>
      <c r="O838" s="14" t="s">
        <v>1279</v>
      </c>
      <c r="P838" s="14"/>
    </row>
    <row r="839" customFormat="false" ht="64.15" hidden="false" customHeight="false" outlineLevel="0" collapsed="false">
      <c r="A839" s="14" t="s">
        <v>2882</v>
      </c>
      <c r="B839" s="14" t="s">
        <v>2883</v>
      </c>
      <c r="C839" s="14"/>
      <c r="D839" s="14" t="s">
        <v>8</v>
      </c>
      <c r="E839" s="14" t="s">
        <v>2010</v>
      </c>
      <c r="F839" s="14"/>
      <c r="G839" s="14" t="s">
        <v>2884</v>
      </c>
      <c r="H839" s="14" t="s">
        <v>1278</v>
      </c>
      <c r="I839" s="14" t="s">
        <v>2026</v>
      </c>
      <c r="J839" s="14"/>
      <c r="K839" s="14"/>
      <c r="L839" s="14"/>
      <c r="M839" s="14"/>
      <c r="N839" s="14"/>
      <c r="O839" s="14" t="s">
        <v>1279</v>
      </c>
      <c r="P839" s="14"/>
    </row>
    <row r="840" customFormat="false" ht="15" hidden="false" customHeight="false" outlineLevel="0" collapsed="false">
      <c r="A840" s="14" t="s">
        <v>2885</v>
      </c>
      <c r="B840" s="14" t="s">
        <v>2886</v>
      </c>
      <c r="C840" s="14"/>
      <c r="D840" s="14" t="s">
        <v>8</v>
      </c>
      <c r="E840" s="14" t="s">
        <v>2010</v>
      </c>
      <c r="F840" s="14"/>
      <c r="G840" s="14"/>
      <c r="H840" s="14" t="s">
        <v>1278</v>
      </c>
      <c r="I840" s="14" t="s">
        <v>1256</v>
      </c>
      <c r="J840" s="14"/>
      <c r="K840" s="14"/>
      <c r="L840" s="14"/>
      <c r="M840" s="14"/>
      <c r="N840" s="14"/>
      <c r="O840" s="14" t="s">
        <v>1279</v>
      </c>
      <c r="P840" s="14"/>
    </row>
    <row r="841" customFormat="false" ht="15" hidden="false" customHeight="false" outlineLevel="0" collapsed="false">
      <c r="A841" s="14" t="s">
        <v>2887</v>
      </c>
      <c r="B841" s="14" t="s">
        <v>2888</v>
      </c>
      <c r="C841" s="14"/>
      <c r="D841" s="14" t="s">
        <v>8</v>
      </c>
      <c r="E841" s="14" t="s">
        <v>2010</v>
      </c>
      <c r="F841" s="14"/>
      <c r="G841" s="14"/>
      <c r="H841" s="14" t="s">
        <v>1278</v>
      </c>
      <c r="I841" s="14" t="s">
        <v>1256</v>
      </c>
      <c r="J841" s="14"/>
      <c r="K841" s="14"/>
      <c r="L841" s="14"/>
      <c r="M841" s="14"/>
      <c r="N841" s="14"/>
      <c r="O841" s="14" t="s">
        <v>1279</v>
      </c>
      <c r="P841" s="14"/>
    </row>
    <row r="842" customFormat="false" ht="22.35" hidden="false" customHeight="false" outlineLevel="0" collapsed="false">
      <c r="A842" s="14" t="s">
        <v>2889</v>
      </c>
      <c r="B842" s="14" t="s">
        <v>2890</v>
      </c>
      <c r="C842" s="14"/>
      <c r="D842" s="14" t="s">
        <v>8</v>
      </c>
      <c r="E842" s="14" t="s">
        <v>2013</v>
      </c>
      <c r="F842" s="14"/>
      <c r="G842" s="14" t="s">
        <v>63</v>
      </c>
      <c r="H842" s="14" t="s">
        <v>1278</v>
      </c>
      <c r="I842" s="14" t="s">
        <v>1256</v>
      </c>
      <c r="J842" s="14"/>
      <c r="K842" s="14"/>
      <c r="L842" s="14"/>
      <c r="M842" s="14"/>
      <c r="N842" s="14"/>
      <c r="O842" s="14" t="s">
        <v>1279</v>
      </c>
      <c r="P842" s="14"/>
    </row>
    <row r="843" customFormat="false" ht="74.6" hidden="false" customHeight="false" outlineLevel="0" collapsed="false">
      <c r="A843" s="14" t="s">
        <v>2891</v>
      </c>
      <c r="B843" s="14" t="s">
        <v>2892</v>
      </c>
      <c r="C843" s="14"/>
      <c r="D843" s="14" t="s">
        <v>8</v>
      </c>
      <c r="E843" s="14" t="s">
        <v>2013</v>
      </c>
      <c r="F843" s="14"/>
      <c r="G843" s="14" t="s">
        <v>2893</v>
      </c>
      <c r="H843" s="14" t="s">
        <v>1278</v>
      </c>
      <c r="I843" s="14" t="s">
        <v>1256</v>
      </c>
      <c r="J843" s="14"/>
      <c r="K843" s="14"/>
      <c r="L843" s="14"/>
      <c r="M843" s="14"/>
      <c r="N843" s="14"/>
      <c r="O843" s="14" t="s">
        <v>1279</v>
      </c>
      <c r="P843" s="14"/>
    </row>
    <row r="844" customFormat="false" ht="74.6" hidden="false" customHeight="false" outlineLevel="0" collapsed="false">
      <c r="A844" s="14" t="s">
        <v>2894</v>
      </c>
      <c r="B844" s="14" t="s">
        <v>2895</v>
      </c>
      <c r="C844" s="14"/>
      <c r="D844" s="14" t="s">
        <v>8</v>
      </c>
      <c r="E844" s="14" t="s">
        <v>2054</v>
      </c>
      <c r="F844" s="14"/>
      <c r="G844" s="14" t="s">
        <v>2896</v>
      </c>
      <c r="H844" s="14" t="s">
        <v>1278</v>
      </c>
      <c r="I844" s="14" t="s">
        <v>1291</v>
      </c>
      <c r="J844" s="14"/>
      <c r="K844" s="14"/>
      <c r="L844" s="14"/>
      <c r="M844" s="14"/>
      <c r="N844" s="14"/>
      <c r="O844" s="14" t="s">
        <v>1279</v>
      </c>
      <c r="P844" s="14"/>
    </row>
    <row r="845" customFormat="false" ht="116.4" hidden="false" customHeight="false" outlineLevel="0" collapsed="false">
      <c r="A845" s="14" t="s">
        <v>2897</v>
      </c>
      <c r="B845" s="14" t="s">
        <v>2898</v>
      </c>
      <c r="C845" s="14"/>
      <c r="D845" s="14" t="s">
        <v>8</v>
      </c>
      <c r="E845" s="14" t="s">
        <v>2010</v>
      </c>
      <c r="F845" s="14"/>
      <c r="G845" s="14" t="s">
        <v>2899</v>
      </c>
      <c r="H845" s="14" t="s">
        <v>1278</v>
      </c>
      <c r="I845" s="14" t="s">
        <v>2026</v>
      </c>
      <c r="J845" s="14"/>
      <c r="K845" s="14"/>
      <c r="L845" s="14"/>
      <c r="M845" s="14"/>
      <c r="N845" s="14"/>
      <c r="O845" s="14" t="s">
        <v>1279</v>
      </c>
      <c r="P845" s="14"/>
    </row>
    <row r="846" customFormat="false" ht="22.35" hidden="false" customHeight="false" outlineLevel="0" collapsed="false">
      <c r="A846" s="14" t="s">
        <v>2900</v>
      </c>
      <c r="B846" s="14" t="s">
        <v>2901</v>
      </c>
      <c r="C846" s="14"/>
      <c r="D846" s="14" t="s">
        <v>8</v>
      </c>
      <c r="E846" s="14" t="s">
        <v>2013</v>
      </c>
      <c r="F846" s="14"/>
      <c r="G846" s="14" t="s">
        <v>63</v>
      </c>
      <c r="H846" s="14" t="s">
        <v>1278</v>
      </c>
      <c r="I846" s="14" t="s">
        <v>1256</v>
      </c>
      <c r="J846" s="14"/>
      <c r="K846" s="14"/>
      <c r="L846" s="14"/>
      <c r="M846" s="14"/>
      <c r="N846" s="14"/>
      <c r="O846" s="14" t="s">
        <v>1279</v>
      </c>
      <c r="P846" s="14"/>
    </row>
    <row r="847" customFormat="false" ht="22.35" hidden="false" customHeight="false" outlineLevel="0" collapsed="false">
      <c r="A847" s="14" t="s">
        <v>2902</v>
      </c>
      <c r="B847" s="14" t="s">
        <v>2903</v>
      </c>
      <c r="C847" s="14"/>
      <c r="D847" s="14" t="s">
        <v>8</v>
      </c>
      <c r="E847" s="14" t="s">
        <v>2013</v>
      </c>
      <c r="F847" s="14"/>
      <c r="G847" s="14" t="s">
        <v>63</v>
      </c>
      <c r="H847" s="14" t="s">
        <v>1278</v>
      </c>
      <c r="I847" s="14" t="s">
        <v>1256</v>
      </c>
      <c r="J847" s="14"/>
      <c r="K847" s="14"/>
      <c r="L847" s="14"/>
      <c r="M847" s="14"/>
      <c r="N847" s="14"/>
      <c r="O847" s="14" t="s">
        <v>1279</v>
      </c>
      <c r="P847" s="14"/>
    </row>
    <row r="848" customFormat="false" ht="15" hidden="false" customHeight="false" outlineLevel="0" collapsed="false">
      <c r="A848" s="14" t="s">
        <v>2904</v>
      </c>
      <c r="B848" s="14" t="s">
        <v>2905</v>
      </c>
      <c r="C848" s="14"/>
      <c r="D848" s="14" t="s">
        <v>8</v>
      </c>
      <c r="E848" s="14" t="s">
        <v>2054</v>
      </c>
      <c r="F848" s="14"/>
      <c r="G848" s="14" t="s">
        <v>77</v>
      </c>
      <c r="H848" s="14" t="s">
        <v>1278</v>
      </c>
      <c r="I848" s="14" t="s">
        <v>1107</v>
      </c>
      <c r="J848" s="14"/>
      <c r="K848" s="14"/>
      <c r="L848" s="14"/>
      <c r="M848" s="14"/>
      <c r="N848" s="14"/>
      <c r="O848" s="14" t="s">
        <v>1279</v>
      </c>
      <c r="P848" s="14"/>
    </row>
    <row r="849" customFormat="false" ht="74.6" hidden="false" customHeight="false" outlineLevel="0" collapsed="false">
      <c r="A849" s="14" t="s">
        <v>2906</v>
      </c>
      <c r="B849" s="14" t="s">
        <v>2907</v>
      </c>
      <c r="C849" s="14"/>
      <c r="D849" s="14" t="s">
        <v>8</v>
      </c>
      <c r="E849" s="14" t="s">
        <v>2013</v>
      </c>
      <c r="F849" s="14"/>
      <c r="G849" s="14" t="s">
        <v>2908</v>
      </c>
      <c r="H849" s="14" t="s">
        <v>1278</v>
      </c>
      <c r="I849" s="14" t="s">
        <v>1256</v>
      </c>
      <c r="J849" s="14"/>
      <c r="K849" s="14"/>
      <c r="L849" s="14"/>
      <c r="M849" s="14"/>
      <c r="N849" s="14"/>
      <c r="O849" s="14" t="s">
        <v>1279</v>
      </c>
      <c r="P849" s="14"/>
    </row>
    <row r="850" customFormat="false" ht="15" hidden="false" customHeight="false" outlineLevel="0" collapsed="false">
      <c r="A850" s="14" t="s">
        <v>2909</v>
      </c>
      <c r="B850" s="14" t="s">
        <v>2910</v>
      </c>
      <c r="C850" s="14"/>
      <c r="D850" s="14" t="s">
        <v>8</v>
      </c>
      <c r="E850" s="14" t="s">
        <v>2054</v>
      </c>
      <c r="F850" s="14"/>
      <c r="G850" s="14" t="s">
        <v>77</v>
      </c>
      <c r="H850" s="14" t="s">
        <v>1278</v>
      </c>
      <c r="I850" s="14" t="s">
        <v>1291</v>
      </c>
      <c r="J850" s="14"/>
      <c r="K850" s="14"/>
      <c r="L850" s="14"/>
      <c r="M850" s="14"/>
      <c r="N850" s="14"/>
      <c r="O850" s="14" t="s">
        <v>1279</v>
      </c>
      <c r="P850" s="14"/>
    </row>
    <row r="851" customFormat="false" ht="15" hidden="false" customHeight="false" outlineLevel="0" collapsed="false">
      <c r="A851" s="14" t="s">
        <v>2911</v>
      </c>
      <c r="B851" s="14" t="s">
        <v>2912</v>
      </c>
      <c r="C851" s="14"/>
      <c r="D851" s="14" t="s">
        <v>8</v>
      </c>
      <c r="E851" s="14" t="s">
        <v>2010</v>
      </c>
      <c r="F851" s="14"/>
      <c r="G851" s="14"/>
      <c r="H851" s="14" t="s">
        <v>1278</v>
      </c>
      <c r="I851" s="14" t="s">
        <v>1291</v>
      </c>
      <c r="J851" s="14"/>
      <c r="K851" s="14"/>
      <c r="L851" s="14"/>
      <c r="M851" s="14"/>
      <c r="N851" s="14"/>
      <c r="O851" s="14" t="s">
        <v>1279</v>
      </c>
      <c r="P851" s="14"/>
    </row>
    <row r="852" customFormat="false" ht="15" hidden="false" customHeight="false" outlineLevel="0" collapsed="false">
      <c r="A852" s="14" t="s">
        <v>2913</v>
      </c>
      <c r="B852" s="14" t="s">
        <v>2914</v>
      </c>
      <c r="C852" s="14"/>
      <c r="D852" s="14" t="s">
        <v>8</v>
      </c>
      <c r="E852" s="14" t="s">
        <v>2010</v>
      </c>
      <c r="F852" s="14"/>
      <c r="G852" s="14"/>
      <c r="H852" s="14" t="s">
        <v>1278</v>
      </c>
      <c r="I852" s="14" t="s">
        <v>1256</v>
      </c>
      <c r="J852" s="14"/>
      <c r="K852" s="14"/>
      <c r="L852" s="14"/>
      <c r="M852" s="14"/>
      <c r="N852" s="14"/>
      <c r="O852" s="14" t="s">
        <v>1279</v>
      </c>
      <c r="P852" s="14"/>
    </row>
    <row r="853" customFormat="false" ht="22.35" hidden="false" customHeight="false" outlineLevel="0" collapsed="false">
      <c r="A853" s="14" t="s">
        <v>2915</v>
      </c>
      <c r="B853" s="14" t="s">
        <v>2916</v>
      </c>
      <c r="C853" s="14"/>
      <c r="D853" s="14" t="s">
        <v>8</v>
      </c>
      <c r="E853" s="14" t="s">
        <v>2013</v>
      </c>
      <c r="F853" s="14"/>
      <c r="G853" s="14" t="s">
        <v>63</v>
      </c>
      <c r="H853" s="14" t="s">
        <v>1278</v>
      </c>
      <c r="I853" s="14" t="s">
        <v>1256</v>
      </c>
      <c r="J853" s="14"/>
      <c r="K853" s="14"/>
      <c r="L853" s="14"/>
      <c r="M853" s="14"/>
      <c r="N853" s="14"/>
      <c r="O853" s="14" t="s">
        <v>1279</v>
      </c>
      <c r="P853" s="14"/>
    </row>
    <row r="854" customFormat="false" ht="22.35" hidden="false" customHeight="false" outlineLevel="0" collapsed="false">
      <c r="A854" s="14" t="s">
        <v>2917</v>
      </c>
      <c r="B854" s="14" t="s">
        <v>2918</v>
      </c>
      <c r="C854" s="14"/>
      <c r="D854" s="14" t="s">
        <v>8</v>
      </c>
      <c r="E854" s="14" t="s">
        <v>2013</v>
      </c>
      <c r="F854" s="14"/>
      <c r="G854" s="14" t="s">
        <v>63</v>
      </c>
      <c r="H854" s="14" t="s">
        <v>1278</v>
      </c>
      <c r="I854" s="14" t="s">
        <v>1256</v>
      </c>
      <c r="J854" s="14"/>
      <c r="K854" s="14"/>
      <c r="L854" s="14"/>
      <c r="M854" s="14"/>
      <c r="N854" s="14"/>
      <c r="O854" s="14" t="s">
        <v>1279</v>
      </c>
      <c r="P854" s="14"/>
    </row>
    <row r="855" customFormat="false" ht="22.35" hidden="false" customHeight="false" outlineLevel="0" collapsed="false">
      <c r="A855" s="14" t="s">
        <v>2919</v>
      </c>
      <c r="B855" s="14" t="s">
        <v>2920</v>
      </c>
      <c r="C855" s="14"/>
      <c r="D855" s="14" t="s">
        <v>8</v>
      </c>
      <c r="E855" s="14" t="s">
        <v>2013</v>
      </c>
      <c r="F855" s="14"/>
      <c r="G855" s="14" t="s">
        <v>63</v>
      </c>
      <c r="H855" s="14" t="s">
        <v>1278</v>
      </c>
      <c r="I855" s="14" t="s">
        <v>1256</v>
      </c>
      <c r="J855" s="14"/>
      <c r="K855" s="14"/>
      <c r="L855" s="14"/>
      <c r="M855" s="14"/>
      <c r="N855" s="14"/>
      <c r="O855" s="14" t="s">
        <v>1279</v>
      </c>
      <c r="P855" s="14"/>
    </row>
    <row r="856" customFormat="false" ht="74.6" hidden="false" customHeight="false" outlineLevel="0" collapsed="false">
      <c r="A856" s="14" t="s">
        <v>2921</v>
      </c>
      <c r="B856" s="14" t="s">
        <v>2922</v>
      </c>
      <c r="C856" s="14"/>
      <c r="D856" s="14" t="s">
        <v>8</v>
      </c>
      <c r="E856" s="14" t="s">
        <v>2010</v>
      </c>
      <c r="F856" s="14"/>
      <c r="G856" s="14" t="s">
        <v>2923</v>
      </c>
      <c r="H856" s="14" t="s">
        <v>1278</v>
      </c>
      <c r="I856" s="14" t="s">
        <v>1256</v>
      </c>
      <c r="J856" s="14"/>
      <c r="K856" s="14"/>
      <c r="L856" s="14"/>
      <c r="M856" s="14"/>
      <c r="N856" s="14"/>
      <c r="O856" s="14" t="s">
        <v>1279</v>
      </c>
      <c r="P856" s="14"/>
    </row>
    <row r="857" customFormat="false" ht="22.35" hidden="false" customHeight="false" outlineLevel="0" collapsed="false">
      <c r="A857" s="14" t="s">
        <v>2924</v>
      </c>
      <c r="B857" s="14" t="s">
        <v>2925</v>
      </c>
      <c r="C857" s="14"/>
      <c r="D857" s="14" t="s">
        <v>8</v>
      </c>
      <c r="E857" s="14" t="s">
        <v>2013</v>
      </c>
      <c r="F857" s="14"/>
      <c r="G857" s="14" t="s">
        <v>63</v>
      </c>
      <c r="H857" s="14" t="s">
        <v>1278</v>
      </c>
      <c r="I857" s="14" t="s">
        <v>1256</v>
      </c>
      <c r="J857" s="14"/>
      <c r="K857" s="14"/>
      <c r="L857" s="14"/>
      <c r="M857" s="14"/>
      <c r="N857" s="14"/>
      <c r="O857" s="14" t="s">
        <v>1279</v>
      </c>
      <c r="P857" s="14"/>
    </row>
    <row r="858" customFormat="false" ht="22.35" hidden="false" customHeight="false" outlineLevel="0" collapsed="false">
      <c r="A858" s="14" t="s">
        <v>2926</v>
      </c>
      <c r="B858" s="14" t="s">
        <v>2927</v>
      </c>
      <c r="C858" s="14"/>
      <c r="D858" s="14" t="s">
        <v>8</v>
      </c>
      <c r="E858" s="14" t="s">
        <v>2013</v>
      </c>
      <c r="F858" s="14"/>
      <c r="G858" s="14" t="s">
        <v>63</v>
      </c>
      <c r="H858" s="14" t="s">
        <v>1278</v>
      </c>
      <c r="I858" s="14" t="s">
        <v>1256</v>
      </c>
      <c r="J858" s="14"/>
      <c r="K858" s="14"/>
      <c r="L858" s="14"/>
      <c r="M858" s="14"/>
      <c r="N858" s="14"/>
      <c r="O858" s="14" t="s">
        <v>1279</v>
      </c>
      <c r="P858" s="14"/>
    </row>
    <row r="859" customFormat="false" ht="15" hidden="false" customHeight="false" outlineLevel="0" collapsed="false">
      <c r="A859" s="14" t="s">
        <v>2928</v>
      </c>
      <c r="B859" s="14" t="s">
        <v>2929</v>
      </c>
      <c r="C859" s="14"/>
      <c r="D859" s="14" t="s">
        <v>8</v>
      </c>
      <c r="E859" s="14" t="s">
        <v>2010</v>
      </c>
      <c r="F859" s="14"/>
      <c r="G859" s="14"/>
      <c r="H859" s="14" t="s">
        <v>1278</v>
      </c>
      <c r="I859" s="14" t="s">
        <v>1256</v>
      </c>
      <c r="J859" s="14"/>
      <c r="K859" s="14"/>
      <c r="L859" s="14"/>
      <c r="M859" s="14"/>
      <c r="N859" s="14"/>
      <c r="O859" s="14" t="s">
        <v>1279</v>
      </c>
      <c r="P859" s="14"/>
    </row>
    <row r="860" customFormat="false" ht="53.7" hidden="false" customHeight="false" outlineLevel="0" collapsed="false">
      <c r="A860" s="14" t="s">
        <v>2930</v>
      </c>
      <c r="B860" s="14" t="s">
        <v>2931</v>
      </c>
      <c r="C860" s="14"/>
      <c r="D860" s="14" t="s">
        <v>8</v>
      </c>
      <c r="E860" s="14" t="s">
        <v>2013</v>
      </c>
      <c r="F860" s="14"/>
      <c r="G860" s="14" t="s">
        <v>2932</v>
      </c>
      <c r="H860" s="14" t="s">
        <v>1278</v>
      </c>
      <c r="I860" s="14" t="s">
        <v>2026</v>
      </c>
      <c r="J860" s="14"/>
      <c r="K860" s="14"/>
      <c r="L860" s="14"/>
      <c r="M860" s="14"/>
      <c r="N860" s="14"/>
      <c r="O860" s="14" t="s">
        <v>1279</v>
      </c>
      <c r="P860" s="14"/>
    </row>
    <row r="861" customFormat="false" ht="15" hidden="false" customHeight="false" outlineLevel="0" collapsed="false">
      <c r="A861" s="14" t="s">
        <v>2933</v>
      </c>
      <c r="B861" s="14" t="s">
        <v>2934</v>
      </c>
      <c r="C861" s="14"/>
      <c r="D861" s="14" t="s">
        <v>8</v>
      </c>
      <c r="E861" s="14" t="s">
        <v>2054</v>
      </c>
      <c r="F861" s="14"/>
      <c r="G861" s="14" t="s">
        <v>77</v>
      </c>
      <c r="H861" s="14" t="s">
        <v>1278</v>
      </c>
      <c r="I861" s="14" t="s">
        <v>1107</v>
      </c>
      <c r="J861" s="14"/>
      <c r="K861" s="14"/>
      <c r="L861" s="14"/>
      <c r="M861" s="14"/>
      <c r="N861" s="14"/>
      <c r="O861" s="14" t="s">
        <v>1279</v>
      </c>
      <c r="P861" s="14"/>
    </row>
    <row r="862" customFormat="false" ht="22.35" hidden="false" customHeight="false" outlineLevel="0" collapsed="false">
      <c r="A862" s="14" t="s">
        <v>2935</v>
      </c>
      <c r="B862" s="14" t="s">
        <v>2936</v>
      </c>
      <c r="C862" s="14"/>
      <c r="D862" s="14" t="s">
        <v>8</v>
      </c>
      <c r="E862" s="14" t="s">
        <v>2013</v>
      </c>
      <c r="F862" s="14"/>
      <c r="G862" s="14" t="s">
        <v>63</v>
      </c>
      <c r="H862" s="14" t="s">
        <v>1278</v>
      </c>
      <c r="I862" s="14" t="s">
        <v>1256</v>
      </c>
      <c r="J862" s="14"/>
      <c r="K862" s="14"/>
      <c r="L862" s="14"/>
      <c r="M862" s="14"/>
      <c r="N862" s="14"/>
      <c r="O862" s="14" t="s">
        <v>1279</v>
      </c>
      <c r="P862" s="14"/>
    </row>
    <row r="863" customFormat="false" ht="22.35" hidden="false" customHeight="false" outlineLevel="0" collapsed="false">
      <c r="A863" s="14" t="s">
        <v>2937</v>
      </c>
      <c r="B863" s="14" t="s">
        <v>2938</v>
      </c>
      <c r="C863" s="14"/>
      <c r="D863" s="14" t="s">
        <v>8</v>
      </c>
      <c r="E863" s="14" t="s">
        <v>2013</v>
      </c>
      <c r="F863" s="14"/>
      <c r="G863" s="14" t="s">
        <v>2939</v>
      </c>
      <c r="H863" s="14" t="s">
        <v>1278</v>
      </c>
      <c r="I863" s="14" t="s">
        <v>1256</v>
      </c>
      <c r="J863" s="14"/>
      <c r="K863" s="14"/>
      <c r="L863" s="14"/>
      <c r="M863" s="14"/>
      <c r="N863" s="14"/>
      <c r="O863" s="14" t="s">
        <v>1279</v>
      </c>
      <c r="P863" s="14"/>
    </row>
    <row r="864" customFormat="false" ht="22.35" hidden="false" customHeight="false" outlineLevel="0" collapsed="false">
      <c r="A864" s="14" t="s">
        <v>2940</v>
      </c>
      <c r="B864" s="14" t="s">
        <v>2941</v>
      </c>
      <c r="C864" s="14"/>
      <c r="D864" s="14" t="s">
        <v>8</v>
      </c>
      <c r="E864" s="14" t="s">
        <v>2013</v>
      </c>
      <c r="F864" s="14"/>
      <c r="G864" s="14" t="s">
        <v>63</v>
      </c>
      <c r="H864" s="14" t="s">
        <v>1278</v>
      </c>
      <c r="I864" s="14" t="s">
        <v>1256</v>
      </c>
      <c r="J864" s="14"/>
      <c r="K864" s="14"/>
      <c r="L864" s="14"/>
      <c r="M864" s="14"/>
      <c r="N864" s="14"/>
      <c r="O864" s="14" t="s">
        <v>1279</v>
      </c>
      <c r="P864" s="14"/>
    </row>
    <row r="865" customFormat="false" ht="15" hidden="false" customHeight="false" outlineLevel="0" collapsed="false">
      <c r="A865" s="14" t="s">
        <v>2942</v>
      </c>
      <c r="B865" s="14" t="s">
        <v>2943</v>
      </c>
      <c r="C865" s="14"/>
      <c r="D865" s="14" t="s">
        <v>8</v>
      </c>
      <c r="E865" s="14" t="s">
        <v>2010</v>
      </c>
      <c r="F865" s="14"/>
      <c r="G865" s="14"/>
      <c r="H865" s="14" t="s">
        <v>1278</v>
      </c>
      <c r="I865" s="14" t="s">
        <v>1256</v>
      </c>
      <c r="J865" s="14"/>
      <c r="K865" s="14"/>
      <c r="L865" s="14"/>
      <c r="M865" s="14"/>
      <c r="N865" s="14"/>
      <c r="O865" s="14" t="s">
        <v>1279</v>
      </c>
      <c r="P865" s="14"/>
    </row>
    <row r="866" customFormat="false" ht="22.35" hidden="false" customHeight="false" outlineLevel="0" collapsed="false">
      <c r="A866" s="14" t="s">
        <v>2944</v>
      </c>
      <c r="B866" s="14" t="s">
        <v>2945</v>
      </c>
      <c r="C866" s="14"/>
      <c r="D866" s="14" t="s">
        <v>8</v>
      </c>
      <c r="E866" s="14" t="s">
        <v>2013</v>
      </c>
      <c r="F866" s="14"/>
      <c r="G866" s="14" t="s">
        <v>63</v>
      </c>
      <c r="H866" s="14" t="s">
        <v>1278</v>
      </c>
      <c r="I866" s="14" t="s">
        <v>1256</v>
      </c>
      <c r="J866" s="14"/>
      <c r="K866" s="14"/>
      <c r="L866" s="14"/>
      <c r="M866" s="14"/>
      <c r="N866" s="14"/>
      <c r="O866" s="14" t="s">
        <v>1279</v>
      </c>
      <c r="P866" s="14"/>
    </row>
    <row r="867" customFormat="false" ht="15" hidden="false" customHeight="false" outlineLevel="0" collapsed="false">
      <c r="A867" s="14" t="s">
        <v>2946</v>
      </c>
      <c r="B867" s="14" t="s">
        <v>2947</v>
      </c>
      <c r="C867" s="14"/>
      <c r="D867" s="14" t="s">
        <v>8</v>
      </c>
      <c r="E867" s="14" t="s">
        <v>2010</v>
      </c>
      <c r="F867" s="14"/>
      <c r="G867" s="14"/>
      <c r="H867" s="14" t="s">
        <v>1278</v>
      </c>
      <c r="I867" s="14" t="s">
        <v>1256</v>
      </c>
      <c r="J867" s="14"/>
      <c r="K867" s="14"/>
      <c r="L867" s="14"/>
      <c r="M867" s="14"/>
      <c r="N867" s="14"/>
      <c r="O867" s="14" t="s">
        <v>1279</v>
      </c>
      <c r="P867" s="14"/>
    </row>
    <row r="868" customFormat="false" ht="22.35" hidden="false" customHeight="false" outlineLevel="0" collapsed="false">
      <c r="A868" s="14" t="s">
        <v>2948</v>
      </c>
      <c r="B868" s="14" t="s">
        <v>2949</v>
      </c>
      <c r="C868" s="14"/>
      <c r="D868" s="14" t="s">
        <v>8</v>
      </c>
      <c r="E868" s="14" t="s">
        <v>2013</v>
      </c>
      <c r="F868" s="14"/>
      <c r="G868" s="14" t="s">
        <v>63</v>
      </c>
      <c r="H868" s="14" t="s">
        <v>1278</v>
      </c>
      <c r="I868" s="14" t="s">
        <v>1256</v>
      </c>
      <c r="J868" s="14"/>
      <c r="K868" s="14"/>
      <c r="L868" s="14"/>
      <c r="M868" s="14"/>
      <c r="N868" s="14"/>
      <c r="O868" s="14" t="s">
        <v>1279</v>
      </c>
      <c r="P868" s="14"/>
    </row>
    <row r="869" customFormat="false" ht="22.35" hidden="false" customHeight="false" outlineLevel="0" collapsed="false">
      <c r="A869" s="14" t="s">
        <v>2950</v>
      </c>
      <c r="B869" s="14" t="s">
        <v>2951</v>
      </c>
      <c r="C869" s="14"/>
      <c r="D869" s="14" t="s">
        <v>8</v>
      </c>
      <c r="E869" s="14" t="s">
        <v>2013</v>
      </c>
      <c r="F869" s="14"/>
      <c r="G869" s="14" t="s">
        <v>63</v>
      </c>
      <c r="H869" s="14" t="s">
        <v>1278</v>
      </c>
      <c r="I869" s="14" t="s">
        <v>1256</v>
      </c>
      <c r="J869" s="14"/>
      <c r="K869" s="14"/>
      <c r="L869" s="14"/>
      <c r="M869" s="14"/>
      <c r="N869" s="14"/>
      <c r="O869" s="14" t="s">
        <v>1279</v>
      </c>
      <c r="P869" s="14"/>
    </row>
    <row r="870" customFormat="false" ht="85.05" hidden="false" customHeight="false" outlineLevel="0" collapsed="false">
      <c r="A870" s="14" t="s">
        <v>2952</v>
      </c>
      <c r="B870" s="14" t="s">
        <v>2953</v>
      </c>
      <c r="C870" s="14"/>
      <c r="D870" s="14" t="s">
        <v>8</v>
      </c>
      <c r="E870" s="14" t="s">
        <v>2010</v>
      </c>
      <c r="F870" s="14"/>
      <c r="G870" s="14" t="s">
        <v>2954</v>
      </c>
      <c r="H870" s="14" t="s">
        <v>1278</v>
      </c>
      <c r="I870" s="14" t="s">
        <v>1256</v>
      </c>
      <c r="J870" s="14"/>
      <c r="K870" s="14"/>
      <c r="L870" s="14"/>
      <c r="M870" s="14"/>
      <c r="N870" s="14"/>
      <c r="O870" s="14" t="s">
        <v>1279</v>
      </c>
      <c r="P870" s="14"/>
    </row>
    <row r="871" customFormat="false" ht="15" hidden="false" customHeight="false" outlineLevel="0" collapsed="false">
      <c r="A871" s="14" t="s">
        <v>2955</v>
      </c>
      <c r="B871" s="14" t="s">
        <v>2956</v>
      </c>
      <c r="C871" s="14"/>
      <c r="D871" s="14" t="s">
        <v>8</v>
      </c>
      <c r="E871" s="14" t="s">
        <v>2010</v>
      </c>
      <c r="F871" s="14"/>
      <c r="G871" s="14"/>
      <c r="H871" s="14" t="s">
        <v>1278</v>
      </c>
      <c r="I871" s="14" t="s">
        <v>1256</v>
      </c>
      <c r="J871" s="14"/>
      <c r="K871" s="14"/>
      <c r="L871" s="14"/>
      <c r="M871" s="14"/>
      <c r="N871" s="14"/>
      <c r="O871" s="14" t="s">
        <v>1279</v>
      </c>
      <c r="P871" s="14"/>
    </row>
    <row r="872" customFormat="false" ht="22.35" hidden="false" customHeight="false" outlineLevel="0" collapsed="false">
      <c r="A872" s="14" t="s">
        <v>2957</v>
      </c>
      <c r="B872" s="14" t="s">
        <v>953</v>
      </c>
      <c r="C872" s="14"/>
      <c r="D872" s="14" t="s">
        <v>8</v>
      </c>
      <c r="E872" s="14" t="s">
        <v>954</v>
      </c>
      <c r="F872" s="14" t="s">
        <v>135</v>
      </c>
      <c r="G872" s="14" t="s">
        <v>63</v>
      </c>
      <c r="H872" s="14" t="s">
        <v>1084</v>
      </c>
      <c r="I872" s="14" t="s">
        <v>1256</v>
      </c>
      <c r="J872" s="17" t="n">
        <v>2</v>
      </c>
      <c r="K872" s="14"/>
      <c r="L872" s="14"/>
      <c r="M872" s="14"/>
      <c r="N872" s="14"/>
      <c r="O872" s="14" t="s">
        <v>2958</v>
      </c>
      <c r="P872" s="14" t="s">
        <v>956</v>
      </c>
    </row>
    <row r="873" customFormat="false" ht="22.35" hidden="false" customHeight="false" outlineLevel="0" collapsed="false">
      <c r="A873" s="14" t="s">
        <v>2959</v>
      </c>
      <c r="B873" s="14" t="s">
        <v>957</v>
      </c>
      <c r="C873" s="14"/>
      <c r="D873" s="14" t="s">
        <v>8</v>
      </c>
      <c r="E873" s="14" t="s">
        <v>954</v>
      </c>
      <c r="F873" s="14" t="s">
        <v>62</v>
      </c>
      <c r="G873" s="14" t="s">
        <v>63</v>
      </c>
      <c r="H873" s="14" t="s">
        <v>1084</v>
      </c>
      <c r="I873" s="14" t="s">
        <v>1256</v>
      </c>
      <c r="J873" s="17" t="n">
        <v>2</v>
      </c>
      <c r="K873" s="14"/>
      <c r="L873" s="14"/>
      <c r="M873" s="14"/>
      <c r="N873" s="14"/>
      <c r="O873" s="14" t="s">
        <v>2960</v>
      </c>
      <c r="P873" s="14" t="s">
        <v>956</v>
      </c>
    </row>
    <row r="874" customFormat="false" ht="22.35" hidden="false" customHeight="false" outlineLevel="0" collapsed="false">
      <c r="A874" s="14" t="s">
        <v>2961</v>
      </c>
      <c r="B874" s="14" t="s">
        <v>960</v>
      </c>
      <c r="C874" s="14" t="s">
        <v>961</v>
      </c>
      <c r="D874" s="14" t="s">
        <v>8</v>
      </c>
      <c r="E874" s="14" t="s">
        <v>962</v>
      </c>
      <c r="F874" s="14" t="s">
        <v>963</v>
      </c>
      <c r="G874" s="14" t="s">
        <v>63</v>
      </c>
      <c r="H874" s="14" t="s">
        <v>1084</v>
      </c>
      <c r="I874" s="14" t="s">
        <v>1256</v>
      </c>
      <c r="J874" s="17" t="n">
        <v>2</v>
      </c>
      <c r="K874" s="14"/>
      <c r="L874" s="14"/>
      <c r="M874" s="14"/>
      <c r="N874" s="14"/>
      <c r="O874" s="14" t="s">
        <v>1259</v>
      </c>
      <c r="P874" s="14"/>
    </row>
    <row r="875" customFormat="false" ht="22.35" hidden="false" customHeight="false" outlineLevel="0" collapsed="false">
      <c r="A875" s="14" t="s">
        <v>2962</v>
      </c>
      <c r="B875" s="14" t="s">
        <v>964</v>
      </c>
      <c r="C875" s="14"/>
      <c r="D875" s="14" t="s">
        <v>8</v>
      </c>
      <c r="E875" s="14" t="s">
        <v>965</v>
      </c>
      <c r="F875" s="14" t="s">
        <v>188</v>
      </c>
      <c r="G875" s="14" t="s">
        <v>63</v>
      </c>
      <c r="H875" s="14" t="s">
        <v>1084</v>
      </c>
      <c r="I875" s="14" t="s">
        <v>1256</v>
      </c>
      <c r="J875" s="17" t="n">
        <v>2</v>
      </c>
      <c r="K875" s="14"/>
      <c r="L875" s="14"/>
      <c r="M875" s="14"/>
      <c r="N875" s="14"/>
      <c r="O875" s="14" t="s">
        <v>2963</v>
      </c>
      <c r="P875" s="14"/>
    </row>
    <row r="876" customFormat="false" ht="22.35" hidden="false" customHeight="false" outlineLevel="0" collapsed="false">
      <c r="A876" s="14" t="s">
        <v>2964</v>
      </c>
      <c r="B876" s="14" t="s">
        <v>382</v>
      </c>
      <c r="C876" s="14" t="s">
        <v>383</v>
      </c>
      <c r="D876" s="14" t="s">
        <v>8</v>
      </c>
      <c r="E876" s="14" t="s">
        <v>384</v>
      </c>
      <c r="F876" s="14" t="s">
        <v>326</v>
      </c>
      <c r="G876" s="14" t="s">
        <v>63</v>
      </c>
      <c r="H876" s="14" t="s">
        <v>1084</v>
      </c>
      <c r="I876" s="14" t="s">
        <v>1256</v>
      </c>
      <c r="J876" s="15" t="n">
        <v>1</v>
      </c>
      <c r="K876" s="14"/>
      <c r="L876" s="14"/>
      <c r="M876" s="14"/>
      <c r="N876" s="14"/>
      <c r="O876" s="14" t="s">
        <v>2965</v>
      </c>
      <c r="P876" s="14"/>
    </row>
    <row r="877" customFormat="false" ht="32.8" hidden="false" customHeight="false" outlineLevel="0" collapsed="false">
      <c r="A877" s="14" t="s">
        <v>2966</v>
      </c>
      <c r="B877" s="14" t="s">
        <v>391</v>
      </c>
      <c r="C877" s="14"/>
      <c r="D877" s="14" t="s">
        <v>8</v>
      </c>
      <c r="E877" s="14" t="s">
        <v>392</v>
      </c>
      <c r="F877" s="14" t="s">
        <v>135</v>
      </c>
      <c r="G877" s="14" t="s">
        <v>63</v>
      </c>
      <c r="H877" s="14" t="s">
        <v>1084</v>
      </c>
      <c r="I877" s="14" t="s">
        <v>1256</v>
      </c>
      <c r="J877" s="15" t="n">
        <v>1</v>
      </c>
      <c r="K877" s="14"/>
      <c r="L877" s="14"/>
      <c r="M877" s="14"/>
      <c r="N877" s="14"/>
      <c r="O877" s="14" t="s">
        <v>2967</v>
      </c>
      <c r="P877" s="14"/>
    </row>
    <row r="878" customFormat="false" ht="22.35" hidden="false" customHeight="false" outlineLevel="0" collapsed="false">
      <c r="A878" s="14" t="s">
        <v>2968</v>
      </c>
      <c r="B878" s="14" t="s">
        <v>967</v>
      </c>
      <c r="C878" s="14" t="s">
        <v>968</v>
      </c>
      <c r="D878" s="14" t="s">
        <v>8</v>
      </c>
      <c r="E878" s="14" t="s">
        <v>969</v>
      </c>
      <c r="F878" s="14" t="s">
        <v>601</v>
      </c>
      <c r="G878" s="14" t="s">
        <v>77</v>
      </c>
      <c r="H878" s="14" t="s">
        <v>1084</v>
      </c>
      <c r="I878" s="14" t="s">
        <v>1256</v>
      </c>
      <c r="J878" s="17" t="n">
        <v>2</v>
      </c>
      <c r="K878" s="14"/>
      <c r="L878" s="14"/>
      <c r="M878" s="14"/>
      <c r="N878" s="14"/>
      <c r="O878" s="14" t="s">
        <v>1259</v>
      </c>
      <c r="P878" s="14"/>
    </row>
    <row r="879" customFormat="false" ht="22.35" hidden="false" customHeight="false" outlineLevel="0" collapsed="false">
      <c r="A879" s="14" t="s">
        <v>2969</v>
      </c>
      <c r="B879" s="14" t="s">
        <v>970</v>
      </c>
      <c r="C879" s="14" t="s">
        <v>968</v>
      </c>
      <c r="D879" s="14" t="s">
        <v>8</v>
      </c>
      <c r="E879" s="14" t="s">
        <v>971</v>
      </c>
      <c r="F879" s="14" t="s">
        <v>215</v>
      </c>
      <c r="G879" s="14" t="s">
        <v>77</v>
      </c>
      <c r="H879" s="14" t="s">
        <v>1084</v>
      </c>
      <c r="I879" s="14" t="s">
        <v>1256</v>
      </c>
      <c r="J879" s="17" t="n">
        <v>2</v>
      </c>
      <c r="K879" s="14"/>
      <c r="L879" s="14"/>
      <c r="M879" s="14"/>
      <c r="N879" s="14"/>
      <c r="O879" s="14" t="s">
        <v>1259</v>
      </c>
      <c r="P879" s="14"/>
    </row>
    <row r="880" customFormat="false" ht="22.35" hidden="false" customHeight="false" outlineLevel="0" collapsed="false">
      <c r="A880" s="14" t="s">
        <v>2970</v>
      </c>
      <c r="B880" s="14" t="s">
        <v>396</v>
      </c>
      <c r="C880" s="14" t="s">
        <v>397</v>
      </c>
      <c r="D880" s="14" t="s">
        <v>8</v>
      </c>
      <c r="E880" s="14" t="s">
        <v>398</v>
      </c>
      <c r="F880" s="14" t="s">
        <v>135</v>
      </c>
      <c r="G880" s="14" t="s">
        <v>63</v>
      </c>
      <c r="H880" s="14" t="s">
        <v>1084</v>
      </c>
      <c r="I880" s="14" t="s">
        <v>1256</v>
      </c>
      <c r="J880" s="15" t="n">
        <v>1</v>
      </c>
      <c r="K880" s="14"/>
      <c r="L880" s="14"/>
      <c r="M880" s="14"/>
      <c r="N880" s="14"/>
      <c r="O880" s="14" t="s">
        <v>1259</v>
      </c>
      <c r="P880" s="14"/>
    </row>
    <row r="881" customFormat="false" ht="22.35" hidden="false" customHeight="false" outlineLevel="0" collapsed="false">
      <c r="A881" s="14" t="s">
        <v>2971</v>
      </c>
      <c r="B881" s="14" t="s">
        <v>972</v>
      </c>
      <c r="C881" s="14"/>
      <c r="D881" s="14" t="s">
        <v>8</v>
      </c>
      <c r="E881" s="14" t="s">
        <v>436</v>
      </c>
      <c r="F881" s="14" t="s">
        <v>62</v>
      </c>
      <c r="G881" s="14" t="s">
        <v>63</v>
      </c>
      <c r="H881" s="14" t="s">
        <v>1084</v>
      </c>
      <c r="I881" s="14" t="s">
        <v>1256</v>
      </c>
      <c r="J881" s="17" t="n">
        <v>2</v>
      </c>
      <c r="K881" s="14"/>
      <c r="L881" s="14"/>
      <c r="M881" s="14"/>
      <c r="N881" s="14"/>
      <c r="O881" s="14" t="s">
        <v>1259</v>
      </c>
      <c r="P881" s="14"/>
    </row>
    <row r="882" customFormat="false" ht="22.35" hidden="false" customHeight="false" outlineLevel="0" collapsed="false">
      <c r="A882" s="14" t="s">
        <v>2972</v>
      </c>
      <c r="B882" s="14" t="s">
        <v>973</v>
      </c>
      <c r="C882" s="14"/>
      <c r="D882" s="14" t="s">
        <v>8</v>
      </c>
      <c r="E882" s="14" t="s">
        <v>954</v>
      </c>
      <c r="F882" s="14" t="s">
        <v>135</v>
      </c>
      <c r="G882" s="14" t="s">
        <v>63</v>
      </c>
      <c r="H882" s="14" t="s">
        <v>1084</v>
      </c>
      <c r="I882" s="14" t="s">
        <v>1256</v>
      </c>
      <c r="J882" s="17" t="n">
        <v>2</v>
      </c>
      <c r="K882" s="14"/>
      <c r="L882" s="14"/>
      <c r="M882" s="14"/>
      <c r="N882" s="14"/>
      <c r="O882" s="14" t="s">
        <v>2973</v>
      </c>
      <c r="P882" s="14" t="s">
        <v>956</v>
      </c>
    </row>
    <row r="883" customFormat="false" ht="22.35" hidden="false" customHeight="false" outlineLevel="0" collapsed="false">
      <c r="A883" s="14" t="s">
        <v>2974</v>
      </c>
      <c r="B883" s="14" t="s">
        <v>975</v>
      </c>
      <c r="C883" s="14"/>
      <c r="D883" s="14" t="s">
        <v>8</v>
      </c>
      <c r="E883" s="14" t="s">
        <v>954</v>
      </c>
      <c r="F883" s="14" t="s">
        <v>62</v>
      </c>
      <c r="G883" s="14" t="s">
        <v>63</v>
      </c>
      <c r="H883" s="14" t="s">
        <v>1084</v>
      </c>
      <c r="I883" s="14" t="s">
        <v>1256</v>
      </c>
      <c r="J883" s="17" t="n">
        <v>2</v>
      </c>
      <c r="K883" s="14"/>
      <c r="L883" s="14"/>
      <c r="M883" s="14"/>
      <c r="N883" s="14"/>
      <c r="O883" s="14" t="s">
        <v>2975</v>
      </c>
      <c r="P883" s="14" t="s">
        <v>956</v>
      </c>
    </row>
    <row r="884" customFormat="false" ht="32.8" hidden="false" customHeight="false" outlineLevel="0" collapsed="false">
      <c r="A884" s="14" t="s">
        <v>2976</v>
      </c>
      <c r="B884" s="14" t="s">
        <v>402</v>
      </c>
      <c r="C884" s="14"/>
      <c r="D884" s="14" t="s">
        <v>8</v>
      </c>
      <c r="E884" s="14" t="s">
        <v>403</v>
      </c>
      <c r="F884" s="14" t="s">
        <v>62</v>
      </c>
      <c r="G884" s="14" t="s">
        <v>63</v>
      </c>
      <c r="H884" s="14" t="s">
        <v>1084</v>
      </c>
      <c r="I884" s="14" t="s">
        <v>1256</v>
      </c>
      <c r="J884" s="15" t="n">
        <v>1</v>
      </c>
      <c r="K884" s="14"/>
      <c r="L884" s="14"/>
      <c r="M884" s="14"/>
      <c r="N884" s="14"/>
      <c r="O884" s="14" t="s">
        <v>2977</v>
      </c>
      <c r="P884" s="14"/>
    </row>
    <row r="885" customFormat="false" ht="22.35" hidden="false" customHeight="false" outlineLevel="0" collapsed="false">
      <c r="A885" s="14" t="s">
        <v>2978</v>
      </c>
      <c r="B885" s="14" t="s">
        <v>406</v>
      </c>
      <c r="C885" s="14" t="s">
        <v>407</v>
      </c>
      <c r="D885" s="14" t="s">
        <v>8</v>
      </c>
      <c r="E885" s="14" t="s">
        <v>384</v>
      </c>
      <c r="F885" s="14" t="s">
        <v>408</v>
      </c>
      <c r="G885" s="14" t="s">
        <v>63</v>
      </c>
      <c r="H885" s="14" t="s">
        <v>1084</v>
      </c>
      <c r="I885" s="14" t="s">
        <v>1256</v>
      </c>
      <c r="J885" s="15" t="n">
        <v>1</v>
      </c>
      <c r="K885" s="14"/>
      <c r="L885" s="14"/>
      <c r="M885" s="14"/>
      <c r="N885" s="14"/>
      <c r="O885" s="14" t="s">
        <v>1259</v>
      </c>
      <c r="P885" s="14" t="s">
        <v>412</v>
      </c>
    </row>
    <row r="886" customFormat="false" ht="15" hidden="false" customHeight="false" outlineLevel="0" collapsed="false">
      <c r="A886" s="14" t="s">
        <v>2979</v>
      </c>
      <c r="B886" s="14" t="s">
        <v>977</v>
      </c>
      <c r="C886" s="14"/>
      <c r="D886" s="14" t="s">
        <v>8</v>
      </c>
      <c r="E886" s="14" t="s">
        <v>384</v>
      </c>
      <c r="F886" s="14" t="s">
        <v>215</v>
      </c>
      <c r="G886" s="14" t="s">
        <v>77</v>
      </c>
      <c r="H886" s="14" t="s">
        <v>1084</v>
      </c>
      <c r="I886" s="14" t="s">
        <v>1256</v>
      </c>
      <c r="J886" s="17" t="n">
        <v>2</v>
      </c>
      <c r="K886" s="14"/>
      <c r="L886" s="14"/>
      <c r="M886" s="14"/>
      <c r="N886" s="14"/>
      <c r="O886" s="14" t="s">
        <v>2980</v>
      </c>
      <c r="P886" s="14"/>
    </row>
    <row r="887" customFormat="false" ht="22.35" hidden="false" customHeight="false" outlineLevel="0" collapsed="false">
      <c r="A887" s="14" t="s">
        <v>2981</v>
      </c>
      <c r="B887" s="14" t="s">
        <v>979</v>
      </c>
      <c r="C887" s="14"/>
      <c r="D887" s="14" t="s">
        <v>8</v>
      </c>
      <c r="E887" s="14" t="s">
        <v>384</v>
      </c>
      <c r="F887" s="14" t="s">
        <v>215</v>
      </c>
      <c r="G887" s="14" t="s">
        <v>77</v>
      </c>
      <c r="H887" s="14" t="s">
        <v>1084</v>
      </c>
      <c r="I887" s="14" t="s">
        <v>1256</v>
      </c>
      <c r="J887" s="17" t="n">
        <v>2</v>
      </c>
      <c r="K887" s="14"/>
      <c r="L887" s="14"/>
      <c r="M887" s="14"/>
      <c r="N887" s="14"/>
      <c r="O887" s="14" t="s">
        <v>2982</v>
      </c>
      <c r="P887" s="14"/>
    </row>
    <row r="888" customFormat="false" ht="22.35" hidden="false" customHeight="false" outlineLevel="0" collapsed="false">
      <c r="A888" s="14" t="s">
        <v>2983</v>
      </c>
      <c r="B888" s="14" t="s">
        <v>981</v>
      </c>
      <c r="C888" s="14" t="s">
        <v>982</v>
      </c>
      <c r="D888" s="14" t="s">
        <v>8</v>
      </c>
      <c r="E888" s="14" t="s">
        <v>384</v>
      </c>
      <c r="F888" s="14" t="s">
        <v>62</v>
      </c>
      <c r="G888" s="14" t="s">
        <v>63</v>
      </c>
      <c r="H888" s="14" t="s">
        <v>1084</v>
      </c>
      <c r="I888" s="14" t="s">
        <v>1256</v>
      </c>
      <c r="J888" s="17" t="n">
        <v>2</v>
      </c>
      <c r="K888" s="14"/>
      <c r="L888" s="14"/>
      <c r="M888" s="14"/>
      <c r="N888" s="14"/>
      <c r="O888" s="14" t="s">
        <v>1259</v>
      </c>
      <c r="P888" s="14"/>
    </row>
    <row r="889" customFormat="false" ht="22.35" hidden="false" customHeight="false" outlineLevel="0" collapsed="false">
      <c r="A889" s="14" t="s">
        <v>2984</v>
      </c>
      <c r="B889" s="14" t="s">
        <v>983</v>
      </c>
      <c r="C889" s="14"/>
      <c r="D889" s="14" t="s">
        <v>8</v>
      </c>
      <c r="E889" s="14" t="s">
        <v>984</v>
      </c>
      <c r="F889" s="14" t="s">
        <v>215</v>
      </c>
      <c r="G889" s="14" t="s">
        <v>77</v>
      </c>
      <c r="H889" s="14" t="s">
        <v>1084</v>
      </c>
      <c r="I889" s="14" t="s">
        <v>1256</v>
      </c>
      <c r="J889" s="17" t="n">
        <v>2</v>
      </c>
      <c r="K889" s="14"/>
      <c r="L889" s="14"/>
      <c r="M889" s="14"/>
      <c r="N889" s="14"/>
      <c r="O889" s="14" t="s">
        <v>2985</v>
      </c>
      <c r="P889" s="14"/>
    </row>
    <row r="890" customFormat="false" ht="22.35" hidden="false" customHeight="false" outlineLevel="0" collapsed="false">
      <c r="A890" s="14" t="s">
        <v>2986</v>
      </c>
      <c r="B890" s="14" t="s">
        <v>986</v>
      </c>
      <c r="C890" s="14" t="s">
        <v>987</v>
      </c>
      <c r="D890" s="14" t="s">
        <v>8</v>
      </c>
      <c r="E890" s="14" t="s">
        <v>971</v>
      </c>
      <c r="F890" s="14" t="s">
        <v>62</v>
      </c>
      <c r="G890" s="14" t="s">
        <v>63</v>
      </c>
      <c r="H890" s="14" t="s">
        <v>1084</v>
      </c>
      <c r="I890" s="14" t="s">
        <v>1256</v>
      </c>
      <c r="J890" s="17" t="n">
        <v>2</v>
      </c>
      <c r="K890" s="14"/>
      <c r="L890" s="14"/>
      <c r="M890" s="14"/>
      <c r="N890" s="14"/>
      <c r="O890" s="14" t="s">
        <v>1259</v>
      </c>
      <c r="P890" s="14"/>
    </row>
    <row r="891" customFormat="false" ht="22.35" hidden="false" customHeight="false" outlineLevel="0" collapsed="false">
      <c r="A891" s="14" t="s">
        <v>2987</v>
      </c>
      <c r="B891" s="14" t="s">
        <v>988</v>
      </c>
      <c r="C891" s="14"/>
      <c r="D891" s="14" t="s">
        <v>8</v>
      </c>
      <c r="E891" s="14" t="s">
        <v>954</v>
      </c>
      <c r="F891" s="14" t="s">
        <v>135</v>
      </c>
      <c r="G891" s="14" t="s">
        <v>63</v>
      </c>
      <c r="H891" s="14" t="s">
        <v>1084</v>
      </c>
      <c r="I891" s="14" t="s">
        <v>1256</v>
      </c>
      <c r="J891" s="17" t="n">
        <v>2</v>
      </c>
      <c r="K891" s="14"/>
      <c r="L891" s="14"/>
      <c r="M891" s="14"/>
      <c r="N891" s="14"/>
      <c r="O891" s="14" t="s">
        <v>2988</v>
      </c>
      <c r="P891" s="14" t="s">
        <v>956</v>
      </c>
    </row>
    <row r="892" customFormat="false" ht="22.35" hidden="false" customHeight="false" outlineLevel="0" collapsed="false">
      <c r="A892" s="14" t="s">
        <v>2989</v>
      </c>
      <c r="B892" s="14" t="s">
        <v>990</v>
      </c>
      <c r="C892" s="14" t="s">
        <v>991</v>
      </c>
      <c r="D892" s="14" t="s">
        <v>8</v>
      </c>
      <c r="E892" s="14" t="s">
        <v>992</v>
      </c>
      <c r="F892" s="14" t="s">
        <v>993</v>
      </c>
      <c r="G892" s="14" t="s">
        <v>77</v>
      </c>
      <c r="H892" s="14" t="s">
        <v>1084</v>
      </c>
      <c r="I892" s="14" t="s">
        <v>1256</v>
      </c>
      <c r="J892" s="17" t="n">
        <v>2</v>
      </c>
      <c r="K892" s="14"/>
      <c r="L892" s="14"/>
      <c r="M892" s="14"/>
      <c r="N892" s="14"/>
      <c r="O892" s="14" t="s">
        <v>1259</v>
      </c>
      <c r="P892" s="14"/>
    </row>
    <row r="893" customFormat="false" ht="22.35" hidden="false" customHeight="false" outlineLevel="0" collapsed="false">
      <c r="A893" s="14" t="s">
        <v>2990</v>
      </c>
      <c r="B893" s="14" t="s">
        <v>994</v>
      </c>
      <c r="C893" s="14" t="s">
        <v>995</v>
      </c>
      <c r="D893" s="14" t="s">
        <v>8</v>
      </c>
      <c r="E893" s="14" t="s">
        <v>436</v>
      </c>
      <c r="F893" s="14" t="s">
        <v>62</v>
      </c>
      <c r="G893" s="14" t="s">
        <v>63</v>
      </c>
      <c r="H893" s="14" t="s">
        <v>1084</v>
      </c>
      <c r="I893" s="14" t="s">
        <v>1256</v>
      </c>
      <c r="J893" s="17" t="n">
        <v>2</v>
      </c>
      <c r="K893" s="14"/>
      <c r="L893" s="14"/>
      <c r="M893" s="14"/>
      <c r="N893" s="14"/>
      <c r="O893" s="14" t="s">
        <v>1259</v>
      </c>
      <c r="P893" s="14"/>
    </row>
    <row r="894" customFormat="false" ht="22.35" hidden="false" customHeight="false" outlineLevel="0" collapsed="false">
      <c r="A894" s="14" t="s">
        <v>2991</v>
      </c>
      <c r="B894" s="14" t="s">
        <v>996</v>
      </c>
      <c r="C894" s="14"/>
      <c r="D894" s="14" t="s">
        <v>8</v>
      </c>
      <c r="E894" s="14" t="s">
        <v>954</v>
      </c>
      <c r="F894" s="14" t="s">
        <v>62</v>
      </c>
      <c r="G894" s="14" t="s">
        <v>63</v>
      </c>
      <c r="H894" s="14" t="s">
        <v>1084</v>
      </c>
      <c r="I894" s="14" t="s">
        <v>1256</v>
      </c>
      <c r="J894" s="17" t="n">
        <v>2</v>
      </c>
      <c r="K894" s="14"/>
      <c r="L894" s="14"/>
      <c r="M894" s="14"/>
      <c r="N894" s="14"/>
      <c r="O894" s="14" t="s">
        <v>2992</v>
      </c>
      <c r="P894" s="14" t="s">
        <v>956</v>
      </c>
    </row>
    <row r="895" customFormat="false" ht="22.35" hidden="false" customHeight="false" outlineLevel="0" collapsed="false">
      <c r="A895" s="14" t="s">
        <v>2993</v>
      </c>
      <c r="B895" s="14" t="s">
        <v>998</v>
      </c>
      <c r="C895" s="14"/>
      <c r="D895" s="14" t="s">
        <v>8</v>
      </c>
      <c r="E895" s="14" t="s">
        <v>999</v>
      </c>
      <c r="F895" s="14" t="s">
        <v>553</v>
      </c>
      <c r="G895" s="14"/>
      <c r="H895" s="14" t="s">
        <v>1084</v>
      </c>
      <c r="I895" s="14" t="s">
        <v>1256</v>
      </c>
      <c r="J895" s="17" t="n">
        <v>2</v>
      </c>
      <c r="K895" s="14"/>
      <c r="L895" s="14"/>
      <c r="M895" s="14"/>
      <c r="N895" s="14"/>
      <c r="O895" s="14" t="s">
        <v>2994</v>
      </c>
      <c r="P895" s="14" t="s">
        <v>554</v>
      </c>
    </row>
    <row r="896" customFormat="false" ht="22.35" hidden="false" customHeight="false" outlineLevel="0" collapsed="false">
      <c r="A896" s="14" t="s">
        <v>2995</v>
      </c>
      <c r="B896" s="14" t="s">
        <v>1001</v>
      </c>
      <c r="C896" s="14" t="s">
        <v>1002</v>
      </c>
      <c r="D896" s="14" t="s">
        <v>8</v>
      </c>
      <c r="E896" s="14" t="s">
        <v>1003</v>
      </c>
      <c r="F896" s="14" t="s">
        <v>135</v>
      </c>
      <c r="G896" s="14" t="s">
        <v>63</v>
      </c>
      <c r="H896" s="14" t="s">
        <v>1084</v>
      </c>
      <c r="I896" s="14" t="s">
        <v>1256</v>
      </c>
      <c r="J896" s="17" t="n">
        <v>2</v>
      </c>
      <c r="K896" s="14"/>
      <c r="L896" s="14"/>
      <c r="M896" s="14"/>
      <c r="N896" s="14"/>
      <c r="O896" s="14" t="s">
        <v>1259</v>
      </c>
      <c r="P896" s="14"/>
    </row>
    <row r="897" customFormat="false" ht="22.35" hidden="false" customHeight="false" outlineLevel="0" collapsed="false">
      <c r="A897" s="14" t="s">
        <v>2996</v>
      </c>
      <c r="B897" s="14" t="s">
        <v>1004</v>
      </c>
      <c r="C897" s="14"/>
      <c r="D897" s="14" t="s">
        <v>8</v>
      </c>
      <c r="E897" s="14" t="s">
        <v>954</v>
      </c>
      <c r="F897" s="14" t="s">
        <v>135</v>
      </c>
      <c r="G897" s="14" t="s">
        <v>63</v>
      </c>
      <c r="H897" s="14" t="s">
        <v>1084</v>
      </c>
      <c r="I897" s="14" t="s">
        <v>1256</v>
      </c>
      <c r="J897" s="17" t="n">
        <v>2</v>
      </c>
      <c r="K897" s="14"/>
      <c r="L897" s="14"/>
      <c r="M897" s="14"/>
      <c r="N897" s="14"/>
      <c r="O897" s="14" t="s">
        <v>2997</v>
      </c>
      <c r="P897" s="14" t="s">
        <v>956</v>
      </c>
    </row>
    <row r="898" customFormat="false" ht="22.35" hidden="false" customHeight="false" outlineLevel="0" collapsed="false">
      <c r="A898" s="14" t="s">
        <v>2998</v>
      </c>
      <c r="B898" s="14" t="s">
        <v>413</v>
      </c>
      <c r="C898" s="14" t="s">
        <v>414</v>
      </c>
      <c r="D898" s="14" t="s">
        <v>8</v>
      </c>
      <c r="E898" s="14" t="s">
        <v>415</v>
      </c>
      <c r="F898" s="14" t="s">
        <v>135</v>
      </c>
      <c r="G898" s="14" t="s">
        <v>63</v>
      </c>
      <c r="H898" s="14" t="s">
        <v>1084</v>
      </c>
      <c r="I898" s="14" t="s">
        <v>1256</v>
      </c>
      <c r="J898" s="15" t="n">
        <v>1</v>
      </c>
      <c r="K898" s="14"/>
      <c r="L898" s="14"/>
      <c r="M898" s="14"/>
      <c r="N898" s="14"/>
      <c r="O898" s="14" t="s">
        <v>1259</v>
      </c>
      <c r="P898" s="14"/>
    </row>
    <row r="899" customFormat="false" ht="22.35" hidden="false" customHeight="false" outlineLevel="0" collapsed="false">
      <c r="A899" s="14" t="s">
        <v>2999</v>
      </c>
      <c r="B899" s="14" t="s">
        <v>1006</v>
      </c>
      <c r="C899" s="14"/>
      <c r="D899" s="14" t="s">
        <v>8</v>
      </c>
      <c r="E899" s="14" t="s">
        <v>954</v>
      </c>
      <c r="F899" s="14" t="s">
        <v>135</v>
      </c>
      <c r="G899" s="14" t="s">
        <v>63</v>
      </c>
      <c r="H899" s="14" t="s">
        <v>1084</v>
      </c>
      <c r="I899" s="14" t="s">
        <v>1256</v>
      </c>
      <c r="J899" s="17" t="n">
        <v>2</v>
      </c>
      <c r="K899" s="14"/>
      <c r="L899" s="14"/>
      <c r="M899" s="14"/>
      <c r="N899" s="14"/>
      <c r="O899" s="14" t="s">
        <v>3000</v>
      </c>
      <c r="P899" s="14" t="s">
        <v>956</v>
      </c>
    </row>
    <row r="900" customFormat="false" ht="22.35" hidden="false" customHeight="false" outlineLevel="0" collapsed="false">
      <c r="A900" s="14" t="s">
        <v>3001</v>
      </c>
      <c r="B900" s="14" t="s">
        <v>1008</v>
      </c>
      <c r="C900" s="14"/>
      <c r="D900" s="14" t="s">
        <v>8</v>
      </c>
      <c r="E900" s="14" t="s">
        <v>954</v>
      </c>
      <c r="F900" s="14" t="s">
        <v>135</v>
      </c>
      <c r="G900" s="14" t="s">
        <v>63</v>
      </c>
      <c r="H900" s="14" t="s">
        <v>1084</v>
      </c>
      <c r="I900" s="14" t="s">
        <v>1256</v>
      </c>
      <c r="J900" s="17" t="n">
        <v>2</v>
      </c>
      <c r="K900" s="14"/>
      <c r="L900" s="14"/>
      <c r="M900" s="14"/>
      <c r="N900" s="14"/>
      <c r="O900" s="14" t="s">
        <v>3002</v>
      </c>
      <c r="P900" s="14" t="s">
        <v>956</v>
      </c>
    </row>
    <row r="901" customFormat="false" ht="22.35" hidden="false" customHeight="false" outlineLevel="0" collapsed="false">
      <c r="A901" s="14" t="s">
        <v>3003</v>
      </c>
      <c r="B901" s="14" t="s">
        <v>1010</v>
      </c>
      <c r="C901" s="14"/>
      <c r="D901" s="14" t="s">
        <v>8</v>
      </c>
      <c r="E901" s="14" t="s">
        <v>384</v>
      </c>
      <c r="F901" s="14" t="s">
        <v>62</v>
      </c>
      <c r="G901" s="14" t="s">
        <v>63</v>
      </c>
      <c r="H901" s="14" t="s">
        <v>1084</v>
      </c>
      <c r="I901" s="14" t="s">
        <v>1256</v>
      </c>
      <c r="J901" s="17" t="n">
        <v>2</v>
      </c>
      <c r="K901" s="14"/>
      <c r="L901" s="14"/>
      <c r="M901" s="14"/>
      <c r="N901" s="14"/>
      <c r="O901" s="14" t="s">
        <v>3004</v>
      </c>
      <c r="P901" s="14"/>
    </row>
    <row r="902" customFormat="false" ht="22.35" hidden="false" customHeight="false" outlineLevel="0" collapsed="false">
      <c r="A902" s="14" t="s">
        <v>3005</v>
      </c>
      <c r="B902" s="14" t="s">
        <v>419</v>
      </c>
      <c r="C902" s="14"/>
      <c r="D902" s="14" t="s">
        <v>8</v>
      </c>
      <c r="E902" s="14" t="s">
        <v>420</v>
      </c>
      <c r="F902" s="14" t="s">
        <v>160</v>
      </c>
      <c r="G902" s="14" t="s">
        <v>63</v>
      </c>
      <c r="H902" s="14" t="s">
        <v>1084</v>
      </c>
      <c r="I902" s="14" t="s">
        <v>1256</v>
      </c>
      <c r="J902" s="15" t="n">
        <v>1</v>
      </c>
      <c r="K902" s="14"/>
      <c r="L902" s="14"/>
      <c r="M902" s="14"/>
      <c r="N902" s="14"/>
      <c r="O902" s="14" t="s">
        <v>3006</v>
      </c>
      <c r="P902" s="14"/>
    </row>
    <row r="903" customFormat="false" ht="22.35" hidden="false" customHeight="false" outlineLevel="0" collapsed="false">
      <c r="A903" s="14" t="s">
        <v>3007</v>
      </c>
      <c r="B903" s="14" t="s">
        <v>424</v>
      </c>
      <c r="C903" s="14"/>
      <c r="D903" s="14" t="s">
        <v>8</v>
      </c>
      <c r="E903" s="14" t="s">
        <v>425</v>
      </c>
      <c r="F903" s="14" t="s">
        <v>160</v>
      </c>
      <c r="G903" s="14" t="s">
        <v>63</v>
      </c>
      <c r="H903" s="14" t="s">
        <v>1084</v>
      </c>
      <c r="I903" s="14" t="s">
        <v>1256</v>
      </c>
      <c r="J903" s="15" t="n">
        <v>1</v>
      </c>
      <c r="K903" s="14"/>
      <c r="L903" s="14"/>
      <c r="M903" s="14"/>
      <c r="N903" s="14"/>
      <c r="O903" s="14" t="s">
        <v>3008</v>
      </c>
      <c r="P903" s="14"/>
    </row>
    <row r="904" customFormat="false" ht="22.35" hidden="false" customHeight="false" outlineLevel="0" collapsed="false">
      <c r="A904" s="14" t="s">
        <v>3009</v>
      </c>
      <c r="B904" s="14" t="s">
        <v>1012</v>
      </c>
      <c r="C904" s="14" t="s">
        <v>1013</v>
      </c>
      <c r="D904" s="14" t="s">
        <v>8</v>
      </c>
      <c r="E904" s="14" t="s">
        <v>384</v>
      </c>
      <c r="F904" s="14" t="s">
        <v>215</v>
      </c>
      <c r="G904" s="14" t="s">
        <v>77</v>
      </c>
      <c r="H904" s="14" t="s">
        <v>1084</v>
      </c>
      <c r="I904" s="14" t="s">
        <v>1256</v>
      </c>
      <c r="J904" s="17" t="n">
        <v>2</v>
      </c>
      <c r="K904" s="14"/>
      <c r="L904" s="14"/>
      <c r="M904" s="14"/>
      <c r="N904" s="14"/>
      <c r="O904" s="14" t="s">
        <v>3010</v>
      </c>
      <c r="P904" s="14" t="s">
        <v>1015</v>
      </c>
    </row>
    <row r="905" customFormat="false" ht="22.35" hidden="false" customHeight="false" outlineLevel="0" collapsed="false">
      <c r="A905" s="14" t="s">
        <v>3011</v>
      </c>
      <c r="B905" s="14" t="s">
        <v>1016</v>
      </c>
      <c r="C905" s="14"/>
      <c r="D905" s="14" t="s">
        <v>8</v>
      </c>
      <c r="E905" s="14" t="s">
        <v>984</v>
      </c>
      <c r="F905" s="14" t="s">
        <v>215</v>
      </c>
      <c r="G905" s="14" t="s">
        <v>77</v>
      </c>
      <c r="H905" s="14" t="s">
        <v>1084</v>
      </c>
      <c r="I905" s="14" t="s">
        <v>1256</v>
      </c>
      <c r="J905" s="17" t="n">
        <v>2</v>
      </c>
      <c r="K905" s="14"/>
      <c r="L905" s="14"/>
      <c r="M905" s="14"/>
      <c r="N905" s="14"/>
      <c r="O905" s="14" t="s">
        <v>3012</v>
      </c>
      <c r="P905" s="14"/>
    </row>
    <row r="906" customFormat="false" ht="22.35" hidden="false" customHeight="false" outlineLevel="0" collapsed="false">
      <c r="A906" s="14" t="s">
        <v>3013</v>
      </c>
      <c r="B906" s="14" t="s">
        <v>1018</v>
      </c>
      <c r="C906" s="14" t="s">
        <v>892</v>
      </c>
      <c r="D906" s="14" t="s">
        <v>8</v>
      </c>
      <c r="E906" s="14" t="s">
        <v>384</v>
      </c>
      <c r="F906" s="14" t="s">
        <v>550</v>
      </c>
      <c r="G906" s="14" t="s">
        <v>77</v>
      </c>
      <c r="H906" s="14" t="s">
        <v>1084</v>
      </c>
      <c r="I906" s="14" t="s">
        <v>1256</v>
      </c>
      <c r="J906" s="17" t="n">
        <v>2</v>
      </c>
      <c r="K906" s="14"/>
      <c r="L906" s="14"/>
      <c r="M906" s="14"/>
      <c r="N906" s="14"/>
      <c r="O906" s="14" t="s">
        <v>1259</v>
      </c>
      <c r="P906" s="14" t="s">
        <v>893</v>
      </c>
    </row>
    <row r="907" customFormat="false" ht="22.35" hidden="false" customHeight="false" outlineLevel="0" collapsed="false">
      <c r="A907" s="14" t="s">
        <v>3014</v>
      </c>
      <c r="B907" s="14" t="s">
        <v>1019</v>
      </c>
      <c r="C907" s="14" t="s">
        <v>892</v>
      </c>
      <c r="D907" s="14" t="s">
        <v>8</v>
      </c>
      <c r="E907" s="14" t="s">
        <v>436</v>
      </c>
      <c r="F907" s="14" t="s">
        <v>215</v>
      </c>
      <c r="G907" s="14" t="s">
        <v>77</v>
      </c>
      <c r="H907" s="14" t="s">
        <v>1084</v>
      </c>
      <c r="I907" s="14" t="s">
        <v>1256</v>
      </c>
      <c r="J907" s="17" t="n">
        <v>2</v>
      </c>
      <c r="K907" s="14"/>
      <c r="L907" s="14"/>
      <c r="M907" s="14"/>
      <c r="N907" s="14"/>
      <c r="O907" s="14" t="s">
        <v>1259</v>
      </c>
      <c r="P907" s="14" t="s">
        <v>893</v>
      </c>
    </row>
    <row r="908" customFormat="false" ht="22.35" hidden="false" customHeight="false" outlineLevel="0" collapsed="false">
      <c r="A908" s="14" t="s">
        <v>3015</v>
      </c>
      <c r="B908" s="14" t="s">
        <v>1020</v>
      </c>
      <c r="C908" s="14" t="s">
        <v>465</v>
      </c>
      <c r="D908" s="14" t="s">
        <v>8</v>
      </c>
      <c r="E908" s="14" t="s">
        <v>398</v>
      </c>
      <c r="F908" s="14" t="s">
        <v>1021</v>
      </c>
      <c r="G908" s="14" t="s">
        <v>63</v>
      </c>
      <c r="H908" s="14" t="s">
        <v>1084</v>
      </c>
      <c r="I908" s="14" t="s">
        <v>1256</v>
      </c>
      <c r="J908" s="17" t="n">
        <v>2</v>
      </c>
      <c r="K908" s="14"/>
      <c r="L908" s="14"/>
      <c r="M908" s="14"/>
      <c r="N908" s="14"/>
      <c r="O908" s="14" t="s">
        <v>1259</v>
      </c>
      <c r="P908" s="14" t="s">
        <v>466</v>
      </c>
    </row>
    <row r="909" customFormat="false" ht="22.35" hidden="false" customHeight="false" outlineLevel="0" collapsed="false">
      <c r="A909" s="14" t="s">
        <v>3016</v>
      </c>
      <c r="B909" s="14" t="s">
        <v>1022</v>
      </c>
      <c r="C909" s="14" t="s">
        <v>987</v>
      </c>
      <c r="D909" s="14" t="s">
        <v>8</v>
      </c>
      <c r="E909" s="14" t="s">
        <v>1023</v>
      </c>
      <c r="F909" s="14" t="s">
        <v>62</v>
      </c>
      <c r="G909" s="14" t="s">
        <v>63</v>
      </c>
      <c r="H909" s="14" t="s">
        <v>1084</v>
      </c>
      <c r="I909" s="14" t="s">
        <v>1256</v>
      </c>
      <c r="J909" s="17" t="n">
        <v>2</v>
      </c>
      <c r="K909" s="14"/>
      <c r="L909" s="14"/>
      <c r="M909" s="14"/>
      <c r="N909" s="14"/>
      <c r="O909" s="14" t="s">
        <v>1259</v>
      </c>
      <c r="P909" s="14"/>
    </row>
    <row r="910" customFormat="false" ht="22.35" hidden="false" customHeight="false" outlineLevel="0" collapsed="false">
      <c r="A910" s="14" t="s">
        <v>3017</v>
      </c>
      <c r="B910" s="14" t="s">
        <v>1024</v>
      </c>
      <c r="C910" s="14" t="s">
        <v>577</v>
      </c>
      <c r="D910" s="14" t="s">
        <v>8</v>
      </c>
      <c r="E910" s="14" t="s">
        <v>1023</v>
      </c>
      <c r="F910" s="14" t="s">
        <v>579</v>
      </c>
      <c r="G910" s="14" t="s">
        <v>63</v>
      </c>
      <c r="H910" s="14" t="s">
        <v>1084</v>
      </c>
      <c r="I910" s="14" t="s">
        <v>1256</v>
      </c>
      <c r="J910" s="17" t="n">
        <v>2</v>
      </c>
      <c r="K910" s="14"/>
      <c r="L910" s="14"/>
      <c r="M910" s="14"/>
      <c r="N910" s="14"/>
      <c r="O910" s="14" t="s">
        <v>1259</v>
      </c>
      <c r="P910" s="14" t="s">
        <v>580</v>
      </c>
    </row>
    <row r="911" customFormat="false" ht="22.35" hidden="false" customHeight="false" outlineLevel="0" collapsed="false">
      <c r="A911" s="14" t="s">
        <v>3018</v>
      </c>
      <c r="B911" s="14" t="s">
        <v>1025</v>
      </c>
      <c r="C911" s="14" t="s">
        <v>849</v>
      </c>
      <c r="D911" s="14" t="s">
        <v>8</v>
      </c>
      <c r="E911" s="14" t="s">
        <v>971</v>
      </c>
      <c r="F911" s="14" t="s">
        <v>520</v>
      </c>
      <c r="G911" s="14" t="s">
        <v>493</v>
      </c>
      <c r="H911" s="14" t="s">
        <v>1084</v>
      </c>
      <c r="I911" s="14" t="s">
        <v>1256</v>
      </c>
      <c r="J911" s="17" t="n">
        <v>2</v>
      </c>
      <c r="K911" s="14"/>
      <c r="L911" s="14"/>
      <c r="M911" s="14"/>
      <c r="N911" s="14"/>
      <c r="O911" s="14" t="s">
        <v>1259</v>
      </c>
      <c r="P911" s="14"/>
    </row>
    <row r="912" customFormat="false" ht="22.35" hidden="false" customHeight="false" outlineLevel="0" collapsed="false">
      <c r="A912" s="14" t="s">
        <v>3019</v>
      </c>
      <c r="B912" s="14" t="s">
        <v>1026</v>
      </c>
      <c r="C912" s="14" t="s">
        <v>851</v>
      </c>
      <c r="D912" s="14" t="s">
        <v>8</v>
      </c>
      <c r="E912" s="14" t="s">
        <v>1027</v>
      </c>
      <c r="F912" s="14" t="s">
        <v>62</v>
      </c>
      <c r="G912" s="14" t="s">
        <v>63</v>
      </c>
      <c r="H912" s="14" t="s">
        <v>1084</v>
      </c>
      <c r="I912" s="14" t="s">
        <v>1256</v>
      </c>
      <c r="J912" s="17" t="n">
        <v>2</v>
      </c>
      <c r="K912" s="14"/>
      <c r="L912" s="14"/>
      <c r="M912" s="14"/>
      <c r="N912" s="14"/>
      <c r="O912" s="14" t="s">
        <v>1259</v>
      </c>
      <c r="P912" s="14" t="s">
        <v>853</v>
      </c>
    </row>
    <row r="913" customFormat="false" ht="22.35" hidden="false" customHeight="false" outlineLevel="0" collapsed="false">
      <c r="A913" s="14" t="s">
        <v>3020</v>
      </c>
      <c r="B913" s="14" t="s">
        <v>1028</v>
      </c>
      <c r="C913" s="14" t="s">
        <v>851</v>
      </c>
      <c r="D913" s="14" t="s">
        <v>8</v>
      </c>
      <c r="E913" s="14" t="s">
        <v>1029</v>
      </c>
      <c r="F913" s="14" t="s">
        <v>62</v>
      </c>
      <c r="G913" s="14" t="s">
        <v>63</v>
      </c>
      <c r="H913" s="14" t="s">
        <v>1084</v>
      </c>
      <c r="I913" s="14" t="s">
        <v>1256</v>
      </c>
      <c r="J913" s="17" t="n">
        <v>2</v>
      </c>
      <c r="K913" s="14"/>
      <c r="L913" s="14"/>
      <c r="M913" s="14"/>
      <c r="N913" s="14"/>
      <c r="O913" s="14" t="s">
        <v>3021</v>
      </c>
      <c r="P913" s="14" t="s">
        <v>853</v>
      </c>
    </row>
    <row r="914" customFormat="false" ht="32.8" hidden="false" customHeight="false" outlineLevel="0" collapsed="false">
      <c r="A914" s="14" t="s">
        <v>3022</v>
      </c>
      <c r="B914" s="14" t="s">
        <v>429</v>
      </c>
      <c r="C914" s="14"/>
      <c r="D914" s="14" t="s">
        <v>8</v>
      </c>
      <c r="E914" s="14" t="s">
        <v>430</v>
      </c>
      <c r="F914" s="14" t="s">
        <v>188</v>
      </c>
      <c r="G914" s="14" t="s">
        <v>63</v>
      </c>
      <c r="H914" s="14" t="s">
        <v>1084</v>
      </c>
      <c r="I914" s="14" t="s">
        <v>1256</v>
      </c>
      <c r="J914" s="15" t="n">
        <v>1</v>
      </c>
      <c r="K914" s="14"/>
      <c r="L914" s="14"/>
      <c r="M914" s="14"/>
      <c r="N914" s="14"/>
      <c r="O914" s="14" t="s">
        <v>3023</v>
      </c>
      <c r="P914" s="14"/>
    </row>
    <row r="915" customFormat="false" ht="22.35" hidden="false" customHeight="false" outlineLevel="0" collapsed="false">
      <c r="A915" s="14" t="s">
        <v>3024</v>
      </c>
      <c r="B915" s="14" t="s">
        <v>1031</v>
      </c>
      <c r="C915" s="14"/>
      <c r="D915" s="14" t="s">
        <v>8</v>
      </c>
      <c r="E915" s="14" t="s">
        <v>954</v>
      </c>
      <c r="F915" s="14" t="s">
        <v>62</v>
      </c>
      <c r="G915" s="14" t="s">
        <v>63</v>
      </c>
      <c r="H915" s="14" t="s">
        <v>1084</v>
      </c>
      <c r="I915" s="14" t="s">
        <v>1256</v>
      </c>
      <c r="J915" s="17" t="n">
        <v>2</v>
      </c>
      <c r="K915" s="14"/>
      <c r="L915" s="14"/>
      <c r="M915" s="14"/>
      <c r="N915" s="14"/>
      <c r="O915" s="14" t="s">
        <v>3025</v>
      </c>
      <c r="P915" s="14" t="s">
        <v>956</v>
      </c>
    </row>
    <row r="916" customFormat="false" ht="22.35" hidden="false" customHeight="false" outlineLevel="0" collapsed="false">
      <c r="A916" s="14" t="s">
        <v>3026</v>
      </c>
      <c r="B916" s="14" t="s">
        <v>434</v>
      </c>
      <c r="C916" s="14" t="s">
        <v>435</v>
      </c>
      <c r="D916" s="14" t="s">
        <v>8</v>
      </c>
      <c r="E916" s="14" t="s">
        <v>436</v>
      </c>
      <c r="F916" s="14" t="s">
        <v>62</v>
      </c>
      <c r="G916" s="14" t="s">
        <v>63</v>
      </c>
      <c r="H916" s="14" t="s">
        <v>1084</v>
      </c>
      <c r="I916" s="14" t="s">
        <v>1256</v>
      </c>
      <c r="J916" s="15" t="n">
        <v>1</v>
      </c>
      <c r="K916" s="14"/>
      <c r="L916" s="14"/>
      <c r="M916" s="14"/>
      <c r="N916" s="14"/>
      <c r="O916" s="14" t="s">
        <v>1259</v>
      </c>
      <c r="P916" s="14"/>
    </row>
    <row r="917" customFormat="false" ht="22.35" hidden="false" customHeight="false" outlineLevel="0" collapsed="false">
      <c r="A917" s="14" t="s">
        <v>3027</v>
      </c>
      <c r="B917" s="14" t="s">
        <v>1033</v>
      </c>
      <c r="C917" s="14"/>
      <c r="D917" s="14" t="s">
        <v>8</v>
      </c>
      <c r="E917" s="14" t="s">
        <v>1034</v>
      </c>
      <c r="F917" s="14" t="s">
        <v>62</v>
      </c>
      <c r="G917" s="14" t="s">
        <v>63</v>
      </c>
      <c r="H917" s="14" t="s">
        <v>1084</v>
      </c>
      <c r="I917" s="14" t="s">
        <v>1256</v>
      </c>
      <c r="J917" s="17" t="n">
        <v>2</v>
      </c>
      <c r="K917" s="14"/>
      <c r="L917" s="14"/>
      <c r="M917" s="14"/>
      <c r="N917" s="14"/>
      <c r="O917" s="14" t="s">
        <v>3028</v>
      </c>
      <c r="P917" s="14" t="s">
        <v>956</v>
      </c>
    </row>
    <row r="918" customFormat="false" ht="22.35" hidden="false" customHeight="false" outlineLevel="0" collapsed="false">
      <c r="A918" s="14" t="s">
        <v>3029</v>
      </c>
      <c r="B918" s="14" t="s">
        <v>1036</v>
      </c>
      <c r="C918" s="14" t="s">
        <v>1037</v>
      </c>
      <c r="D918" s="14" t="s">
        <v>8</v>
      </c>
      <c r="E918" s="14" t="s">
        <v>971</v>
      </c>
      <c r="F918" s="14" t="s">
        <v>1038</v>
      </c>
      <c r="G918" s="14" t="s">
        <v>77</v>
      </c>
      <c r="H918" s="14" t="s">
        <v>1084</v>
      </c>
      <c r="I918" s="14" t="s">
        <v>1256</v>
      </c>
      <c r="J918" s="17" t="n">
        <v>2</v>
      </c>
      <c r="K918" s="14"/>
      <c r="L918" s="14"/>
      <c r="M918" s="14"/>
      <c r="N918" s="14"/>
      <c r="O918" s="14" t="s">
        <v>1259</v>
      </c>
      <c r="P918" s="14"/>
    </row>
    <row r="919" customFormat="false" ht="32.8" hidden="false" customHeight="false" outlineLevel="0" collapsed="false">
      <c r="A919" s="14" t="s">
        <v>3030</v>
      </c>
      <c r="B919" s="14" t="s">
        <v>438</v>
      </c>
      <c r="C919" s="14"/>
      <c r="D919" s="14" t="s">
        <v>8</v>
      </c>
      <c r="E919" s="14" t="s">
        <v>439</v>
      </c>
      <c r="F919" s="14" t="s">
        <v>135</v>
      </c>
      <c r="G919" s="14" t="s">
        <v>63</v>
      </c>
      <c r="H919" s="14" t="s">
        <v>1084</v>
      </c>
      <c r="I919" s="14" t="s">
        <v>1256</v>
      </c>
      <c r="J919" s="15" t="n">
        <v>1</v>
      </c>
      <c r="K919" s="14"/>
      <c r="L919" s="14"/>
      <c r="M919" s="14"/>
      <c r="N919" s="14"/>
      <c r="O919" s="14" t="s">
        <v>3031</v>
      </c>
      <c r="P919" s="14"/>
    </row>
    <row r="920" customFormat="false" ht="22.35" hidden="false" customHeight="false" outlineLevel="0" collapsed="false">
      <c r="A920" s="14" t="s">
        <v>3032</v>
      </c>
      <c r="B920" s="14" t="s">
        <v>443</v>
      </c>
      <c r="C920" s="14" t="s">
        <v>444</v>
      </c>
      <c r="D920" s="14" t="s">
        <v>8</v>
      </c>
      <c r="E920" s="14" t="s">
        <v>445</v>
      </c>
      <c r="F920" s="14" t="s">
        <v>62</v>
      </c>
      <c r="G920" s="14" t="s">
        <v>63</v>
      </c>
      <c r="H920" s="14" t="s">
        <v>1084</v>
      </c>
      <c r="I920" s="14" t="s">
        <v>1256</v>
      </c>
      <c r="J920" s="15" t="n">
        <v>1</v>
      </c>
      <c r="K920" s="14"/>
      <c r="L920" s="14"/>
      <c r="M920" s="14"/>
      <c r="N920" s="14"/>
      <c r="O920" s="14" t="s">
        <v>1259</v>
      </c>
      <c r="P920" s="14"/>
    </row>
    <row r="921" customFormat="false" ht="22.35" hidden="false" customHeight="false" outlineLevel="0" collapsed="false">
      <c r="A921" s="14" t="s">
        <v>3033</v>
      </c>
      <c r="B921" s="14" t="s">
        <v>1039</v>
      </c>
      <c r="C921" s="14" t="s">
        <v>444</v>
      </c>
      <c r="D921" s="14" t="s">
        <v>8</v>
      </c>
      <c r="E921" s="14" t="s">
        <v>1040</v>
      </c>
      <c r="F921" s="14" t="s">
        <v>62</v>
      </c>
      <c r="G921" s="14" t="s">
        <v>63</v>
      </c>
      <c r="H921" s="14" t="s">
        <v>1084</v>
      </c>
      <c r="I921" s="14" t="s">
        <v>1256</v>
      </c>
      <c r="J921" s="17" t="n">
        <v>2</v>
      </c>
      <c r="K921" s="14"/>
      <c r="L921" s="14"/>
      <c r="M921" s="14"/>
      <c r="N921" s="14"/>
      <c r="O921" s="14" t="s">
        <v>3034</v>
      </c>
      <c r="P921" s="14" t="s">
        <v>1042</v>
      </c>
    </row>
    <row r="922" customFormat="false" ht="22.35" hidden="false" customHeight="false" outlineLevel="0" collapsed="false">
      <c r="A922" s="14" t="s">
        <v>3035</v>
      </c>
      <c r="B922" s="14" t="s">
        <v>1044</v>
      </c>
      <c r="C922" s="14" t="s">
        <v>1045</v>
      </c>
      <c r="D922" s="14" t="s">
        <v>8</v>
      </c>
      <c r="E922" s="14" t="s">
        <v>1046</v>
      </c>
      <c r="F922" s="14" t="s">
        <v>135</v>
      </c>
      <c r="G922" s="14" t="s">
        <v>63</v>
      </c>
      <c r="H922" s="14" t="s">
        <v>1084</v>
      </c>
      <c r="I922" s="14" t="s">
        <v>1256</v>
      </c>
      <c r="J922" s="17" t="n">
        <v>2</v>
      </c>
      <c r="K922" s="14"/>
      <c r="L922" s="14"/>
      <c r="M922" s="14"/>
      <c r="N922" s="14"/>
      <c r="O922" s="14" t="s">
        <v>1259</v>
      </c>
      <c r="P922" s="14"/>
    </row>
    <row r="923" customFormat="false" ht="15" hidden="false" customHeight="false" outlineLevel="0" collapsed="false">
      <c r="A923" s="14" t="s">
        <v>3036</v>
      </c>
      <c r="B923" s="14" t="s">
        <v>1047</v>
      </c>
      <c r="C923" s="14"/>
      <c r="D923" s="14" t="s">
        <v>8</v>
      </c>
      <c r="E923" s="14" t="s">
        <v>1048</v>
      </c>
      <c r="F923" s="14" t="s">
        <v>62</v>
      </c>
      <c r="G923" s="14" t="s">
        <v>63</v>
      </c>
      <c r="H923" s="14" t="s">
        <v>1084</v>
      </c>
      <c r="I923" s="14" t="s">
        <v>1256</v>
      </c>
      <c r="J923" s="17" t="n">
        <v>2</v>
      </c>
      <c r="K923" s="14"/>
      <c r="L923" s="14"/>
      <c r="M923" s="14"/>
      <c r="N923" s="14"/>
      <c r="O923" s="14" t="s">
        <v>3037</v>
      </c>
      <c r="P923" s="14"/>
    </row>
  </sheetData>
  <autoFilter ref="A1:P923"/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36"/>
    <col collapsed="false" customWidth="true" hidden="false" outlineLevel="0" max="7" min="7" style="0" width="10"/>
  </cols>
  <sheetData>
    <row r="1" customFormat="false" ht="33.75" hidden="false" customHeight="true" outlineLevel="0" collapsed="false">
      <c r="A1" s="13" t="s">
        <v>3038</v>
      </c>
      <c r="B1" s="13" t="s">
        <v>46</v>
      </c>
      <c r="C1" s="13" t="s">
        <v>3039</v>
      </c>
      <c r="D1" s="13" t="s">
        <v>50</v>
      </c>
      <c r="E1" s="13" t="s">
        <v>3040</v>
      </c>
      <c r="F1" s="13" t="s">
        <v>3041</v>
      </c>
      <c r="G1" s="13" t="s">
        <v>3042</v>
      </c>
    </row>
    <row r="2" customFormat="false" ht="22.35" hidden="false" customHeight="false" outlineLevel="0" collapsed="false">
      <c r="A2" s="14" t="s">
        <v>3043</v>
      </c>
      <c r="B2" s="14" t="s">
        <v>8</v>
      </c>
      <c r="C2" s="14" t="s">
        <v>3044</v>
      </c>
      <c r="D2" s="14" t="s">
        <v>3045</v>
      </c>
      <c r="E2" s="14" t="s">
        <v>3046</v>
      </c>
      <c r="F2" s="14" t="s">
        <v>3047</v>
      </c>
      <c r="G2" s="14" t="s">
        <v>3048</v>
      </c>
    </row>
    <row r="3" customFormat="false" ht="22.35" hidden="false" customHeight="false" outlineLevel="0" collapsed="false">
      <c r="A3" s="14" t="s">
        <v>3049</v>
      </c>
      <c r="B3" s="14" t="s">
        <v>12</v>
      </c>
      <c r="C3" s="14" t="s">
        <v>3050</v>
      </c>
      <c r="D3" s="14" t="s">
        <v>3051</v>
      </c>
      <c r="E3" s="14" t="s">
        <v>3052</v>
      </c>
      <c r="F3" s="14" t="s">
        <v>3053</v>
      </c>
      <c r="G3" s="14" t="s">
        <v>3048</v>
      </c>
    </row>
    <row r="4" customFormat="false" ht="22.35" hidden="false" customHeight="false" outlineLevel="0" collapsed="false">
      <c r="A4" s="14" t="s">
        <v>3054</v>
      </c>
      <c r="B4" s="14" t="s">
        <v>10</v>
      </c>
      <c r="C4" s="14" t="s">
        <v>3055</v>
      </c>
      <c r="D4" s="14" t="s">
        <v>3056</v>
      </c>
      <c r="E4" s="14" t="s">
        <v>3057</v>
      </c>
      <c r="F4" s="14" t="s">
        <v>3058</v>
      </c>
      <c r="G4" s="14" t="s">
        <v>3048</v>
      </c>
    </row>
    <row r="5" customFormat="false" ht="22.35" hidden="false" customHeight="false" outlineLevel="0" collapsed="false">
      <c r="A5" s="14" t="s">
        <v>3059</v>
      </c>
      <c r="B5" s="14" t="s">
        <v>14</v>
      </c>
      <c r="C5" s="14" t="s">
        <v>3060</v>
      </c>
      <c r="D5" s="14" t="s">
        <v>3061</v>
      </c>
      <c r="E5" s="14" t="s">
        <v>3062</v>
      </c>
      <c r="F5" s="14" t="s">
        <v>3063</v>
      </c>
      <c r="G5" s="14" t="s">
        <v>3048</v>
      </c>
    </row>
    <row r="6" customFormat="false" ht="22.35" hidden="false" customHeight="false" outlineLevel="0" collapsed="false">
      <c r="A6" s="14" t="s">
        <v>3064</v>
      </c>
      <c r="B6" s="14" t="s">
        <v>17</v>
      </c>
      <c r="C6" s="14" t="s">
        <v>3065</v>
      </c>
      <c r="D6" s="14" t="s">
        <v>3066</v>
      </c>
      <c r="E6" s="14" t="s">
        <v>3067</v>
      </c>
      <c r="F6" s="14" t="s">
        <v>3068</v>
      </c>
      <c r="G6" s="14" t="s">
        <v>3048</v>
      </c>
    </row>
    <row r="7" customFormat="false" ht="22.35" hidden="false" customHeight="false" outlineLevel="0" collapsed="false">
      <c r="A7" s="14" t="s">
        <v>3069</v>
      </c>
      <c r="B7" s="14" t="s">
        <v>27</v>
      </c>
      <c r="C7" s="14" t="s">
        <v>3070</v>
      </c>
      <c r="D7" s="14" t="s">
        <v>3071</v>
      </c>
      <c r="E7" s="14" t="s">
        <v>3072</v>
      </c>
      <c r="F7" s="14" t="s">
        <v>3073</v>
      </c>
      <c r="G7" s="14" t="s">
        <v>3048</v>
      </c>
    </row>
    <row r="8" customFormat="false" ht="15" hidden="false" customHeight="false" outlineLevel="0" collapsed="false">
      <c r="A8" s="14" t="s">
        <v>3074</v>
      </c>
      <c r="B8" s="14" t="s">
        <v>41</v>
      </c>
      <c r="C8" s="14" t="s">
        <v>3075</v>
      </c>
      <c r="D8" s="14" t="s">
        <v>3076</v>
      </c>
      <c r="E8" s="14" t="s">
        <v>3077</v>
      </c>
      <c r="F8" s="14" t="s">
        <v>575</v>
      </c>
      <c r="G8" s="14" t="s">
        <v>3048</v>
      </c>
    </row>
    <row r="9" customFormat="false" ht="15" hidden="false" customHeight="false" outlineLevel="0" collapsed="false">
      <c r="A9" s="14" t="s">
        <v>3078</v>
      </c>
      <c r="B9" s="14" t="s">
        <v>15</v>
      </c>
      <c r="C9" s="14" t="s">
        <v>3079</v>
      </c>
      <c r="D9" s="14" t="s">
        <v>3080</v>
      </c>
      <c r="E9" s="14" t="s">
        <v>3081</v>
      </c>
      <c r="F9" s="14" t="s">
        <v>3082</v>
      </c>
      <c r="G9" s="14" t="s">
        <v>3048</v>
      </c>
    </row>
    <row r="10" customFormat="false" ht="15" hidden="false" customHeight="false" outlineLevel="0" collapsed="false">
      <c r="A10" s="14" t="s">
        <v>3083</v>
      </c>
      <c r="B10" s="14" t="s">
        <v>21</v>
      </c>
      <c r="C10" s="14" t="s">
        <v>3084</v>
      </c>
      <c r="D10" s="14" t="s">
        <v>3085</v>
      </c>
      <c r="E10" s="14" t="s">
        <v>3086</v>
      </c>
      <c r="F10" s="14" t="s">
        <v>86</v>
      </c>
      <c r="G10" s="14" t="s">
        <v>3087</v>
      </c>
    </row>
    <row r="11" customFormat="false" ht="22.35" hidden="false" customHeight="false" outlineLevel="0" collapsed="false">
      <c r="A11" s="14" t="s">
        <v>3088</v>
      </c>
      <c r="B11" s="14" t="s">
        <v>22</v>
      </c>
      <c r="C11" s="14" t="s">
        <v>3089</v>
      </c>
      <c r="D11" s="14" t="s">
        <v>3090</v>
      </c>
      <c r="E11" s="14" t="s">
        <v>3091</v>
      </c>
      <c r="F11" s="14" t="s">
        <v>3092</v>
      </c>
      <c r="G11" s="14" t="s">
        <v>3048</v>
      </c>
    </row>
    <row r="12" customFormat="false" ht="15" hidden="false" customHeight="false" outlineLevel="0" collapsed="false">
      <c r="A12" s="14" t="s">
        <v>3093</v>
      </c>
      <c r="B12" s="14" t="s">
        <v>35</v>
      </c>
      <c r="C12" s="14" t="s">
        <v>3094</v>
      </c>
      <c r="D12" s="14" t="s">
        <v>3095</v>
      </c>
      <c r="E12" s="14" t="s">
        <v>715</v>
      </c>
      <c r="F12" s="14" t="s">
        <v>3096</v>
      </c>
      <c r="G12" s="14" t="s">
        <v>3087</v>
      </c>
    </row>
    <row r="13" customFormat="false" ht="15" hidden="false" customHeight="false" outlineLevel="0" collapsed="false">
      <c r="A13" s="14" t="s">
        <v>3097</v>
      </c>
      <c r="B13" s="14" t="s">
        <v>19</v>
      </c>
      <c r="C13" s="14" t="s">
        <v>3098</v>
      </c>
      <c r="D13" s="14" t="s">
        <v>3099</v>
      </c>
      <c r="E13" s="14" t="s">
        <v>3100</v>
      </c>
      <c r="F13" s="14" t="s">
        <v>3101</v>
      </c>
      <c r="G13" s="14" t="s">
        <v>3087</v>
      </c>
    </row>
    <row r="14" customFormat="false" ht="15" hidden="false" customHeight="false" outlineLevel="0" collapsed="false">
      <c r="A14" s="14" t="s">
        <v>3102</v>
      </c>
      <c r="B14" s="14" t="s">
        <v>39</v>
      </c>
      <c r="C14" s="14" t="s">
        <v>3103</v>
      </c>
      <c r="D14" s="14" t="s">
        <v>3104</v>
      </c>
      <c r="E14" s="14" t="s">
        <v>487</v>
      </c>
      <c r="F14" s="14" t="s">
        <v>3105</v>
      </c>
      <c r="G14" s="14" t="s">
        <v>3087</v>
      </c>
    </row>
    <row r="15" customFormat="false" ht="15" hidden="false" customHeight="false" outlineLevel="0" collapsed="false">
      <c r="A15" s="14" t="s">
        <v>3106</v>
      </c>
      <c r="B15" s="14" t="s">
        <v>32</v>
      </c>
      <c r="C15" s="14" t="s">
        <v>3107</v>
      </c>
      <c r="D15" s="14" t="s">
        <v>3108</v>
      </c>
      <c r="E15" s="14" t="s">
        <v>1055</v>
      </c>
      <c r="F15" s="14" t="s">
        <v>3109</v>
      </c>
      <c r="G15" s="14" t="s">
        <v>3110</v>
      </c>
    </row>
    <row r="16" customFormat="false" ht="15" hidden="false" customHeight="false" outlineLevel="0" collapsed="false">
      <c r="A16" s="14" t="s">
        <v>3111</v>
      </c>
      <c r="B16" s="14" t="s">
        <v>23</v>
      </c>
      <c r="C16" s="14" t="s">
        <v>3112</v>
      </c>
      <c r="D16" s="14" t="s">
        <v>3113</v>
      </c>
      <c r="E16" s="14" t="s">
        <v>3114</v>
      </c>
      <c r="F16" s="14" t="s">
        <v>198</v>
      </c>
      <c r="G16" s="14" t="s">
        <v>3087</v>
      </c>
    </row>
    <row r="17" customFormat="false" ht="15" hidden="false" customHeight="false" outlineLevel="0" collapsed="false">
      <c r="A17" s="14" t="s">
        <v>3115</v>
      </c>
      <c r="B17" s="14" t="s">
        <v>25</v>
      </c>
      <c r="C17" s="14" t="s">
        <v>3116</v>
      </c>
      <c r="D17" s="14" t="s">
        <v>3117</v>
      </c>
      <c r="E17" s="14" t="s">
        <v>3118</v>
      </c>
      <c r="F17" s="14" t="s">
        <v>108</v>
      </c>
      <c r="G17" s="14" t="s">
        <v>3048</v>
      </c>
    </row>
    <row r="18" customFormat="false" ht="15" hidden="false" customHeight="false" outlineLevel="0" collapsed="false">
      <c r="A18" s="14" t="s">
        <v>3119</v>
      </c>
      <c r="B18" s="14" t="s">
        <v>31</v>
      </c>
      <c r="C18" s="14" t="s">
        <v>3120</v>
      </c>
      <c r="D18" s="14" t="s">
        <v>3121</v>
      </c>
      <c r="E18" s="14" t="s">
        <v>208</v>
      </c>
      <c r="F18" s="14" t="s">
        <v>3122</v>
      </c>
      <c r="G18" s="14" t="s">
        <v>3048</v>
      </c>
    </row>
    <row r="19" customFormat="false" ht="15" hidden="false" customHeight="false" outlineLevel="0" collapsed="false">
      <c r="A19" s="14" t="s">
        <v>3123</v>
      </c>
      <c r="B19" s="14" t="s">
        <v>37</v>
      </c>
      <c r="C19" s="14" t="s">
        <v>3124</v>
      </c>
      <c r="D19" s="14" t="s">
        <v>3125</v>
      </c>
      <c r="E19" s="14" t="s">
        <v>1055</v>
      </c>
      <c r="F19" s="14" t="s">
        <v>1057</v>
      </c>
      <c r="G19" s="14" t="s">
        <v>3110</v>
      </c>
    </row>
    <row r="20" customFormat="false" ht="15" hidden="false" customHeight="false" outlineLevel="0" collapsed="false">
      <c r="A20" s="14" t="s">
        <v>3126</v>
      </c>
      <c r="B20" s="14" t="s">
        <v>29</v>
      </c>
      <c r="C20" s="14" t="s">
        <v>3127</v>
      </c>
      <c r="D20" s="14" t="s">
        <v>3128</v>
      </c>
      <c r="E20" s="14" t="s">
        <v>3129</v>
      </c>
      <c r="F20" s="14" t="s">
        <v>3130</v>
      </c>
      <c r="G20" s="14" t="s">
        <v>3131</v>
      </c>
    </row>
  </sheetData>
  <autoFilter ref="A1:G20"/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36"/>
  </cols>
  <sheetData>
    <row r="1" customFormat="false" ht="33.75" hidden="false" customHeight="true" outlineLevel="0" collapsed="false">
      <c r="A1" s="13" t="s">
        <v>3132</v>
      </c>
      <c r="B1" s="13" t="s">
        <v>1080</v>
      </c>
      <c r="C1" s="13" t="s">
        <v>44</v>
      </c>
      <c r="D1" s="13" t="s">
        <v>3133</v>
      </c>
      <c r="E1" s="13" t="s">
        <v>3134</v>
      </c>
    </row>
    <row r="2" customFormat="false" ht="15" hidden="false" customHeight="false" outlineLevel="0" collapsed="false">
      <c r="A2" s="14" t="s">
        <v>3135</v>
      </c>
      <c r="B2" s="14" t="s">
        <v>3136</v>
      </c>
      <c r="C2" s="14" t="s">
        <v>1505</v>
      </c>
      <c r="D2" s="14" t="s">
        <v>3137</v>
      </c>
      <c r="E2" s="14" t="s">
        <v>3138</v>
      </c>
    </row>
    <row r="3" customFormat="false" ht="15" hidden="false" customHeight="false" outlineLevel="0" collapsed="false">
      <c r="A3" s="14" t="s">
        <v>3135</v>
      </c>
      <c r="B3" s="14" t="s">
        <v>3139</v>
      </c>
      <c r="C3" s="14" t="s">
        <v>1961</v>
      </c>
      <c r="D3" s="14" t="s">
        <v>3137</v>
      </c>
      <c r="E3" s="14" t="s">
        <v>3140</v>
      </c>
    </row>
    <row r="4" customFormat="false" ht="15" hidden="false" customHeight="false" outlineLevel="0" collapsed="false">
      <c r="A4" s="14" t="s">
        <v>3135</v>
      </c>
      <c r="B4" s="14" t="s">
        <v>3141</v>
      </c>
      <c r="C4" s="14" t="s">
        <v>1426</v>
      </c>
      <c r="D4" s="14" t="s">
        <v>3137</v>
      </c>
      <c r="E4" s="14" t="s">
        <v>3142</v>
      </c>
    </row>
    <row r="5" customFormat="false" ht="15" hidden="false" customHeight="false" outlineLevel="0" collapsed="false">
      <c r="A5" s="14" t="s">
        <v>3135</v>
      </c>
      <c r="B5" s="14" t="s">
        <v>3143</v>
      </c>
      <c r="C5" s="14" t="s">
        <v>1958</v>
      </c>
      <c r="D5" s="14" t="s">
        <v>3137</v>
      </c>
      <c r="E5" s="14" t="s">
        <v>3140</v>
      </c>
    </row>
    <row r="6" customFormat="false" ht="15" hidden="false" customHeight="false" outlineLevel="0" collapsed="false">
      <c r="A6" s="14" t="s">
        <v>3135</v>
      </c>
      <c r="B6" s="14" t="s">
        <v>3144</v>
      </c>
      <c r="C6" s="14" t="s">
        <v>1518</v>
      </c>
      <c r="D6" s="14" t="s">
        <v>3137</v>
      </c>
      <c r="E6" s="14" t="s">
        <v>3138</v>
      </c>
    </row>
    <row r="7" customFormat="false" ht="22.35" hidden="false" customHeight="false" outlineLevel="0" collapsed="false">
      <c r="A7" s="14" t="s">
        <v>3145</v>
      </c>
      <c r="B7" s="14" t="s">
        <v>3146</v>
      </c>
      <c r="C7" s="14" t="s">
        <v>3147</v>
      </c>
      <c r="D7" s="14" t="s">
        <v>3148</v>
      </c>
      <c r="E7" s="14" t="s">
        <v>3149</v>
      </c>
    </row>
    <row r="8" customFormat="false" ht="22.35" hidden="false" customHeight="false" outlineLevel="0" collapsed="false">
      <c r="A8" s="14" t="s">
        <v>3150</v>
      </c>
      <c r="B8" s="14" t="s">
        <v>3151</v>
      </c>
      <c r="C8" s="14" t="s">
        <v>3152</v>
      </c>
      <c r="D8" s="14" t="s">
        <v>3153</v>
      </c>
      <c r="E8" s="14" t="s">
        <v>3149</v>
      </c>
    </row>
    <row r="9" customFormat="false" ht="15" hidden="false" customHeight="false" outlineLevel="0" collapsed="false">
      <c r="A9" s="14" t="s">
        <v>3154</v>
      </c>
      <c r="B9" s="14" t="s">
        <v>1330</v>
      </c>
      <c r="C9" s="14" t="s">
        <v>3155</v>
      </c>
      <c r="D9" s="14" t="s">
        <v>3156</v>
      </c>
      <c r="E9" s="14" t="s">
        <v>3157</v>
      </c>
    </row>
    <row r="10" customFormat="false" ht="15" hidden="false" customHeight="false" outlineLevel="0" collapsed="false">
      <c r="A10" s="14" t="s">
        <v>3154</v>
      </c>
      <c r="B10" s="14" t="s">
        <v>1330</v>
      </c>
      <c r="C10" s="14" t="s">
        <v>3158</v>
      </c>
      <c r="D10" s="14" t="s">
        <v>3159</v>
      </c>
      <c r="E10" s="14" t="s">
        <v>3157</v>
      </c>
    </row>
    <row r="11" customFormat="false" ht="15" hidden="false" customHeight="false" outlineLevel="0" collapsed="false">
      <c r="A11" s="14" t="s">
        <v>3154</v>
      </c>
      <c r="B11" s="14" t="s">
        <v>1330</v>
      </c>
      <c r="C11" s="14" t="s">
        <v>3160</v>
      </c>
      <c r="D11" s="14" t="s">
        <v>3161</v>
      </c>
      <c r="E11" s="14" t="s">
        <v>3157</v>
      </c>
    </row>
    <row r="12" customFormat="false" ht="15" hidden="false" customHeight="false" outlineLevel="0" collapsed="false">
      <c r="A12" s="14" t="s">
        <v>3154</v>
      </c>
      <c r="B12" s="14" t="s">
        <v>1330</v>
      </c>
      <c r="C12" s="14" t="s">
        <v>3162</v>
      </c>
      <c r="D12" s="14" t="s">
        <v>3163</v>
      </c>
      <c r="E12" s="14" t="s">
        <v>3157</v>
      </c>
    </row>
    <row r="13" customFormat="false" ht="15" hidden="false" customHeight="false" outlineLevel="0" collapsed="false">
      <c r="A13" s="14" t="s">
        <v>3154</v>
      </c>
      <c r="B13" s="14" t="s">
        <v>1330</v>
      </c>
      <c r="C13" s="14" t="s">
        <v>3164</v>
      </c>
      <c r="D13" s="14" t="s">
        <v>3165</v>
      </c>
      <c r="E13" s="14" t="s">
        <v>3157</v>
      </c>
    </row>
    <row r="14" customFormat="false" ht="15" hidden="false" customHeight="false" outlineLevel="0" collapsed="false">
      <c r="A14" s="14" t="s">
        <v>3154</v>
      </c>
      <c r="B14" s="14" t="s">
        <v>1330</v>
      </c>
      <c r="C14" s="14" t="s">
        <v>3166</v>
      </c>
      <c r="D14" s="14" t="s">
        <v>3167</v>
      </c>
      <c r="E14" s="14" t="s">
        <v>3157</v>
      </c>
    </row>
    <row r="15" customFormat="false" ht="15" hidden="false" customHeight="false" outlineLevel="0" collapsed="false">
      <c r="A15" s="14" t="s">
        <v>3154</v>
      </c>
      <c r="B15" s="14" t="s">
        <v>1330</v>
      </c>
      <c r="C15" s="14" t="s">
        <v>3168</v>
      </c>
      <c r="D15" s="14" t="s">
        <v>3169</v>
      </c>
      <c r="E15" s="14" t="s">
        <v>3157</v>
      </c>
    </row>
    <row r="16" customFormat="false" ht="15" hidden="false" customHeight="false" outlineLevel="0" collapsed="false">
      <c r="A16" s="14" t="s">
        <v>3154</v>
      </c>
      <c r="B16" s="14" t="s">
        <v>1330</v>
      </c>
      <c r="C16" s="14" t="s">
        <v>3170</v>
      </c>
      <c r="D16" s="14" t="s">
        <v>3171</v>
      </c>
      <c r="E16" s="14" t="s">
        <v>3157</v>
      </c>
    </row>
    <row r="17" customFormat="false" ht="15" hidden="false" customHeight="false" outlineLevel="0" collapsed="false">
      <c r="A17" s="14" t="s">
        <v>3154</v>
      </c>
      <c r="B17" s="14" t="s">
        <v>1330</v>
      </c>
      <c r="C17" s="14" t="s">
        <v>3172</v>
      </c>
      <c r="D17" s="14" t="s">
        <v>3173</v>
      </c>
      <c r="E17" s="14" t="s">
        <v>3157</v>
      </c>
    </row>
    <row r="18" customFormat="false" ht="15" hidden="false" customHeight="false" outlineLevel="0" collapsed="false">
      <c r="A18" s="14" t="s">
        <v>3154</v>
      </c>
      <c r="B18" s="14" t="s">
        <v>1330</v>
      </c>
      <c r="C18" s="14" t="s">
        <v>3174</v>
      </c>
      <c r="D18" s="14" t="s">
        <v>3175</v>
      </c>
      <c r="E18" s="14" t="s">
        <v>3157</v>
      </c>
    </row>
    <row r="19" customFormat="false" ht="15" hidden="false" customHeight="false" outlineLevel="0" collapsed="false">
      <c r="A19" s="14" t="s">
        <v>3176</v>
      </c>
      <c r="B19" s="14" t="s">
        <v>1330</v>
      </c>
      <c r="C19" s="14" t="s">
        <v>2050</v>
      </c>
      <c r="D19" s="14" t="s">
        <v>3177</v>
      </c>
      <c r="E19" s="14" t="s">
        <v>3157</v>
      </c>
    </row>
    <row r="20" customFormat="false" ht="15" hidden="false" customHeight="false" outlineLevel="0" collapsed="false">
      <c r="A20" s="14" t="s">
        <v>3176</v>
      </c>
      <c r="B20" s="14" t="s">
        <v>1330</v>
      </c>
      <c r="C20" s="14" t="s">
        <v>3155</v>
      </c>
      <c r="D20" s="14" t="s">
        <v>3178</v>
      </c>
      <c r="E20" s="14" t="s">
        <v>3157</v>
      </c>
    </row>
    <row r="21" customFormat="false" ht="15" hidden="false" customHeight="false" outlineLevel="0" collapsed="false">
      <c r="A21" s="14" t="s">
        <v>3176</v>
      </c>
      <c r="B21" s="14" t="s">
        <v>1330</v>
      </c>
      <c r="C21" s="14" t="s">
        <v>2103</v>
      </c>
      <c r="D21" s="14" t="s">
        <v>3179</v>
      </c>
      <c r="E21" s="14" t="s">
        <v>3157</v>
      </c>
    </row>
    <row r="22" customFormat="false" ht="15" hidden="false" customHeight="false" outlineLevel="0" collapsed="false">
      <c r="A22" s="14" t="s">
        <v>3176</v>
      </c>
      <c r="B22" s="14" t="s">
        <v>1330</v>
      </c>
      <c r="C22" s="14" t="s">
        <v>3180</v>
      </c>
      <c r="D22" s="14" t="s">
        <v>3181</v>
      </c>
      <c r="E22" s="14" t="s">
        <v>3157</v>
      </c>
    </row>
    <row r="23" customFormat="false" ht="15" hidden="false" customHeight="false" outlineLevel="0" collapsed="false">
      <c r="A23" s="14" t="s">
        <v>3176</v>
      </c>
      <c r="B23" s="14" t="s">
        <v>1330</v>
      </c>
      <c r="C23" s="14" t="s">
        <v>3182</v>
      </c>
      <c r="D23" s="14" t="s">
        <v>3181</v>
      </c>
      <c r="E23" s="14" t="s">
        <v>3157</v>
      </c>
    </row>
    <row r="24" customFormat="false" ht="15" hidden="false" customHeight="false" outlineLevel="0" collapsed="false">
      <c r="A24" s="14" t="s">
        <v>3176</v>
      </c>
      <c r="B24" s="14" t="s">
        <v>1330</v>
      </c>
      <c r="C24" s="14" t="s">
        <v>3183</v>
      </c>
      <c r="D24" s="14" t="s">
        <v>3184</v>
      </c>
      <c r="E24" s="14" t="s">
        <v>3157</v>
      </c>
    </row>
    <row r="25" customFormat="false" ht="15" hidden="false" customHeight="false" outlineLevel="0" collapsed="false">
      <c r="A25" s="14" t="s">
        <v>3176</v>
      </c>
      <c r="B25" s="14" t="s">
        <v>1330</v>
      </c>
      <c r="C25" s="14" t="s">
        <v>3185</v>
      </c>
      <c r="D25" s="14" t="s">
        <v>3186</v>
      </c>
      <c r="E25" s="14" t="s">
        <v>3157</v>
      </c>
    </row>
    <row r="26" customFormat="false" ht="15" hidden="false" customHeight="false" outlineLevel="0" collapsed="false">
      <c r="A26" s="14" t="s">
        <v>3176</v>
      </c>
      <c r="B26" s="14" t="s">
        <v>1330</v>
      </c>
      <c r="C26" s="14" t="s">
        <v>3187</v>
      </c>
      <c r="D26" s="14" t="s">
        <v>3188</v>
      </c>
      <c r="E26" s="14" t="s">
        <v>3157</v>
      </c>
    </row>
    <row r="27" customFormat="false" ht="15" hidden="false" customHeight="false" outlineLevel="0" collapsed="false">
      <c r="A27" s="14" t="s">
        <v>3176</v>
      </c>
      <c r="B27" s="14" t="s">
        <v>1330</v>
      </c>
      <c r="C27" s="14" t="s">
        <v>3189</v>
      </c>
      <c r="D27" s="14" t="s">
        <v>3190</v>
      </c>
      <c r="E27" s="14" t="s">
        <v>3157</v>
      </c>
    </row>
    <row r="28" customFormat="false" ht="15" hidden="false" customHeight="false" outlineLevel="0" collapsed="false">
      <c r="A28" s="14" t="s">
        <v>3176</v>
      </c>
      <c r="B28" s="14" t="s">
        <v>1330</v>
      </c>
      <c r="C28" s="14" t="s">
        <v>2158</v>
      </c>
      <c r="D28" s="14" t="s">
        <v>3191</v>
      </c>
      <c r="E28" s="14" t="s">
        <v>3157</v>
      </c>
    </row>
    <row r="29" customFormat="false" ht="15" hidden="false" customHeight="false" outlineLevel="0" collapsed="false">
      <c r="A29" s="14" t="s">
        <v>3176</v>
      </c>
      <c r="B29" s="14" t="s">
        <v>1330</v>
      </c>
      <c r="C29" s="14" t="s">
        <v>3192</v>
      </c>
      <c r="D29" s="14" t="s">
        <v>3193</v>
      </c>
      <c r="E29" s="14" t="s">
        <v>3157</v>
      </c>
    </row>
    <row r="30" customFormat="false" ht="15" hidden="false" customHeight="false" outlineLevel="0" collapsed="false">
      <c r="A30" s="14" t="s">
        <v>3176</v>
      </c>
      <c r="B30" s="14" t="s">
        <v>1330</v>
      </c>
      <c r="C30" s="14" t="s">
        <v>2173</v>
      </c>
      <c r="D30" s="14" t="s">
        <v>3194</v>
      </c>
      <c r="E30" s="14" t="s">
        <v>3157</v>
      </c>
    </row>
    <row r="31" customFormat="false" ht="15" hidden="false" customHeight="false" outlineLevel="0" collapsed="false">
      <c r="A31" s="14" t="s">
        <v>3176</v>
      </c>
      <c r="B31" s="14" t="s">
        <v>1330</v>
      </c>
      <c r="C31" s="14" t="s">
        <v>2284</v>
      </c>
      <c r="D31" s="14" t="s">
        <v>3195</v>
      </c>
      <c r="E31" s="14" t="s">
        <v>3157</v>
      </c>
    </row>
    <row r="32" customFormat="false" ht="15" hidden="false" customHeight="false" outlineLevel="0" collapsed="false">
      <c r="A32" s="14" t="s">
        <v>3176</v>
      </c>
      <c r="B32" s="14" t="s">
        <v>1330</v>
      </c>
      <c r="C32" s="14" t="s">
        <v>3196</v>
      </c>
      <c r="D32" s="14" t="s">
        <v>3197</v>
      </c>
      <c r="E32" s="14" t="s">
        <v>3157</v>
      </c>
    </row>
    <row r="33" customFormat="false" ht="15" hidden="false" customHeight="false" outlineLevel="0" collapsed="false">
      <c r="A33" s="14" t="s">
        <v>3176</v>
      </c>
      <c r="B33" s="14" t="s">
        <v>1330</v>
      </c>
      <c r="C33" s="14" t="s">
        <v>3198</v>
      </c>
      <c r="D33" s="14" t="s">
        <v>3199</v>
      </c>
      <c r="E33" s="14" t="s">
        <v>3157</v>
      </c>
    </row>
    <row r="34" customFormat="false" ht="15" hidden="false" customHeight="false" outlineLevel="0" collapsed="false">
      <c r="A34" s="14" t="s">
        <v>3176</v>
      </c>
      <c r="B34" s="14" t="s">
        <v>1330</v>
      </c>
      <c r="C34" s="14" t="s">
        <v>2298</v>
      </c>
      <c r="D34" s="14" t="s">
        <v>3200</v>
      </c>
      <c r="E34" s="14" t="s">
        <v>3157</v>
      </c>
    </row>
    <row r="35" customFormat="false" ht="15" hidden="false" customHeight="false" outlineLevel="0" collapsed="false">
      <c r="A35" s="14" t="s">
        <v>3176</v>
      </c>
      <c r="B35" s="14" t="s">
        <v>1330</v>
      </c>
      <c r="C35" s="14" t="s">
        <v>3201</v>
      </c>
      <c r="D35" s="14" t="s">
        <v>3202</v>
      </c>
      <c r="E35" s="14" t="s">
        <v>3157</v>
      </c>
    </row>
    <row r="36" customFormat="false" ht="15" hidden="false" customHeight="false" outlineLevel="0" collapsed="false">
      <c r="A36" s="14" t="s">
        <v>3176</v>
      </c>
      <c r="B36" s="14" t="s">
        <v>1330</v>
      </c>
      <c r="C36" s="14" t="s">
        <v>2302</v>
      </c>
      <c r="D36" s="14" t="s">
        <v>3203</v>
      </c>
      <c r="E36" s="14" t="s">
        <v>3157</v>
      </c>
    </row>
    <row r="37" customFormat="false" ht="15" hidden="false" customHeight="false" outlineLevel="0" collapsed="false">
      <c r="A37" s="14" t="s">
        <v>3176</v>
      </c>
      <c r="B37" s="14" t="s">
        <v>1330</v>
      </c>
      <c r="C37" s="14" t="s">
        <v>2309</v>
      </c>
      <c r="D37" s="14" t="s">
        <v>3204</v>
      </c>
      <c r="E37" s="14" t="s">
        <v>3157</v>
      </c>
    </row>
    <row r="38" customFormat="false" ht="15" hidden="false" customHeight="false" outlineLevel="0" collapsed="false">
      <c r="A38" s="14" t="s">
        <v>3176</v>
      </c>
      <c r="B38" s="14" t="s">
        <v>1330</v>
      </c>
      <c r="C38" s="14" t="s">
        <v>3205</v>
      </c>
      <c r="D38" s="14" t="s">
        <v>3206</v>
      </c>
      <c r="E38" s="14" t="s">
        <v>3157</v>
      </c>
    </row>
    <row r="39" customFormat="false" ht="15" hidden="false" customHeight="false" outlineLevel="0" collapsed="false">
      <c r="A39" s="14" t="s">
        <v>3176</v>
      </c>
      <c r="B39" s="14" t="s">
        <v>1330</v>
      </c>
      <c r="C39" s="14" t="s">
        <v>2323</v>
      </c>
      <c r="D39" s="14" t="s">
        <v>3207</v>
      </c>
      <c r="E39" s="14" t="s">
        <v>3157</v>
      </c>
    </row>
    <row r="40" customFormat="false" ht="15" hidden="false" customHeight="false" outlineLevel="0" collapsed="false">
      <c r="A40" s="14" t="s">
        <v>3176</v>
      </c>
      <c r="B40" s="14" t="s">
        <v>1330</v>
      </c>
      <c r="C40" s="14" t="s">
        <v>3208</v>
      </c>
      <c r="D40" s="14" t="s">
        <v>3209</v>
      </c>
      <c r="E40" s="14" t="s">
        <v>3157</v>
      </c>
    </row>
    <row r="41" customFormat="false" ht="15" hidden="false" customHeight="false" outlineLevel="0" collapsed="false">
      <c r="A41" s="14" t="s">
        <v>3176</v>
      </c>
      <c r="B41" s="14" t="s">
        <v>1330</v>
      </c>
      <c r="C41" s="14" t="s">
        <v>3210</v>
      </c>
      <c r="D41" s="14" t="s">
        <v>3211</v>
      </c>
      <c r="E41" s="14" t="s">
        <v>3157</v>
      </c>
    </row>
    <row r="42" customFormat="false" ht="15" hidden="false" customHeight="false" outlineLevel="0" collapsed="false">
      <c r="A42" s="14" t="s">
        <v>3176</v>
      </c>
      <c r="B42" s="14" t="s">
        <v>1330</v>
      </c>
      <c r="C42" s="14" t="s">
        <v>2370</v>
      </c>
      <c r="D42" s="14" t="s">
        <v>3212</v>
      </c>
      <c r="E42" s="14" t="s">
        <v>3157</v>
      </c>
    </row>
    <row r="43" customFormat="false" ht="15" hidden="false" customHeight="false" outlineLevel="0" collapsed="false">
      <c r="A43" s="14" t="s">
        <v>3176</v>
      </c>
      <c r="B43" s="14" t="s">
        <v>1330</v>
      </c>
      <c r="C43" s="14" t="s">
        <v>3213</v>
      </c>
      <c r="D43" s="14" t="s">
        <v>3214</v>
      </c>
      <c r="E43" s="14" t="s">
        <v>3157</v>
      </c>
    </row>
    <row r="44" customFormat="false" ht="15" hidden="false" customHeight="false" outlineLevel="0" collapsed="false">
      <c r="A44" s="14" t="s">
        <v>3176</v>
      </c>
      <c r="B44" s="14" t="s">
        <v>1330</v>
      </c>
      <c r="C44" s="14" t="s">
        <v>2373</v>
      </c>
      <c r="D44" s="14" t="s">
        <v>3215</v>
      </c>
      <c r="E44" s="14" t="s">
        <v>3157</v>
      </c>
    </row>
    <row r="45" customFormat="false" ht="15" hidden="false" customHeight="false" outlineLevel="0" collapsed="false">
      <c r="A45" s="14" t="s">
        <v>3176</v>
      </c>
      <c r="B45" s="14" t="s">
        <v>1330</v>
      </c>
      <c r="C45" s="14" t="s">
        <v>2393</v>
      </c>
      <c r="D45" s="14" t="s">
        <v>3216</v>
      </c>
      <c r="E45" s="14" t="s">
        <v>3157</v>
      </c>
    </row>
    <row r="46" customFormat="false" ht="15" hidden="false" customHeight="false" outlineLevel="0" collapsed="false">
      <c r="A46" s="14" t="s">
        <v>3176</v>
      </c>
      <c r="B46" s="14" t="s">
        <v>1330</v>
      </c>
      <c r="C46" s="14" t="s">
        <v>3217</v>
      </c>
      <c r="D46" s="14" t="s">
        <v>3218</v>
      </c>
      <c r="E46" s="14" t="s">
        <v>3157</v>
      </c>
    </row>
    <row r="47" customFormat="false" ht="15" hidden="false" customHeight="false" outlineLevel="0" collapsed="false">
      <c r="A47" s="14" t="s">
        <v>3176</v>
      </c>
      <c r="B47" s="14" t="s">
        <v>1330</v>
      </c>
      <c r="C47" s="14" t="s">
        <v>2422</v>
      </c>
      <c r="D47" s="14" t="s">
        <v>3219</v>
      </c>
      <c r="E47" s="14" t="s">
        <v>3157</v>
      </c>
    </row>
    <row r="48" customFormat="false" ht="15" hidden="false" customHeight="false" outlineLevel="0" collapsed="false">
      <c r="A48" s="14" t="s">
        <v>3176</v>
      </c>
      <c r="B48" s="14" t="s">
        <v>1330</v>
      </c>
      <c r="C48" s="14" t="s">
        <v>3220</v>
      </c>
      <c r="D48" s="14" t="s">
        <v>3221</v>
      </c>
      <c r="E48" s="14" t="s">
        <v>3157</v>
      </c>
    </row>
    <row r="49" customFormat="false" ht="15" hidden="false" customHeight="false" outlineLevel="0" collapsed="false">
      <c r="A49" s="14" t="s">
        <v>3176</v>
      </c>
      <c r="B49" s="14" t="s">
        <v>1330</v>
      </c>
      <c r="C49" s="14" t="s">
        <v>3222</v>
      </c>
      <c r="D49" s="14" t="s">
        <v>3223</v>
      </c>
      <c r="E49" s="14" t="s">
        <v>3157</v>
      </c>
    </row>
    <row r="50" customFormat="false" ht="15" hidden="false" customHeight="false" outlineLevel="0" collapsed="false">
      <c r="A50" s="14" t="s">
        <v>3176</v>
      </c>
      <c r="B50" s="14" t="s">
        <v>1330</v>
      </c>
      <c r="C50" s="14" t="s">
        <v>3224</v>
      </c>
      <c r="D50" s="14" t="s">
        <v>3225</v>
      </c>
      <c r="E50" s="14" t="s">
        <v>3157</v>
      </c>
    </row>
    <row r="51" customFormat="false" ht="15" hidden="false" customHeight="false" outlineLevel="0" collapsed="false">
      <c r="A51" s="14" t="s">
        <v>3176</v>
      </c>
      <c r="B51" s="14" t="s">
        <v>1330</v>
      </c>
      <c r="C51" s="14" t="s">
        <v>2474</v>
      </c>
      <c r="D51" s="14" t="s">
        <v>3226</v>
      </c>
      <c r="E51" s="14" t="s">
        <v>3157</v>
      </c>
    </row>
    <row r="52" customFormat="false" ht="15" hidden="false" customHeight="false" outlineLevel="0" collapsed="false">
      <c r="A52" s="14" t="s">
        <v>3176</v>
      </c>
      <c r="B52" s="14" t="s">
        <v>1330</v>
      </c>
      <c r="C52" s="14" t="s">
        <v>3227</v>
      </c>
      <c r="D52" s="14" t="s">
        <v>3228</v>
      </c>
      <c r="E52" s="14" t="s">
        <v>3157</v>
      </c>
    </row>
    <row r="53" customFormat="false" ht="15" hidden="false" customHeight="false" outlineLevel="0" collapsed="false">
      <c r="A53" s="14" t="s">
        <v>3176</v>
      </c>
      <c r="B53" s="14" t="s">
        <v>1330</v>
      </c>
      <c r="C53" s="14" t="s">
        <v>3229</v>
      </c>
      <c r="D53" s="14" t="s">
        <v>3230</v>
      </c>
      <c r="E53" s="14" t="s">
        <v>3157</v>
      </c>
    </row>
    <row r="54" customFormat="false" ht="15" hidden="false" customHeight="false" outlineLevel="0" collapsed="false">
      <c r="A54" s="14" t="s">
        <v>3176</v>
      </c>
      <c r="B54" s="14" t="s">
        <v>1330</v>
      </c>
      <c r="C54" s="14" t="s">
        <v>3231</v>
      </c>
      <c r="D54" s="14" t="s">
        <v>3232</v>
      </c>
      <c r="E54" s="14" t="s">
        <v>3157</v>
      </c>
    </row>
    <row r="55" customFormat="false" ht="15" hidden="false" customHeight="false" outlineLevel="0" collapsed="false">
      <c r="A55" s="14" t="s">
        <v>3176</v>
      </c>
      <c r="B55" s="14" t="s">
        <v>1330</v>
      </c>
      <c r="C55" s="14" t="s">
        <v>2520</v>
      </c>
      <c r="D55" s="14" t="s">
        <v>3233</v>
      </c>
      <c r="E55" s="14" t="s">
        <v>3157</v>
      </c>
    </row>
    <row r="56" customFormat="false" ht="15" hidden="false" customHeight="false" outlineLevel="0" collapsed="false">
      <c r="A56" s="14" t="s">
        <v>3176</v>
      </c>
      <c r="B56" s="14" t="s">
        <v>1330</v>
      </c>
      <c r="C56" s="14" t="s">
        <v>2563</v>
      </c>
      <c r="D56" s="14" t="s">
        <v>3169</v>
      </c>
      <c r="E56" s="14" t="s">
        <v>3157</v>
      </c>
    </row>
    <row r="57" customFormat="false" ht="15" hidden="false" customHeight="false" outlineLevel="0" collapsed="false">
      <c r="A57" s="14" t="s">
        <v>3176</v>
      </c>
      <c r="B57" s="14" t="s">
        <v>1330</v>
      </c>
      <c r="C57" s="14" t="s">
        <v>3234</v>
      </c>
      <c r="D57" s="14" t="s">
        <v>3235</v>
      </c>
      <c r="E57" s="14" t="s">
        <v>3157</v>
      </c>
    </row>
    <row r="58" customFormat="false" ht="22.35" hidden="false" customHeight="false" outlineLevel="0" collapsed="false">
      <c r="A58" s="14" t="s">
        <v>3176</v>
      </c>
      <c r="B58" s="14" t="s">
        <v>1330</v>
      </c>
      <c r="C58" s="14" t="s">
        <v>3236</v>
      </c>
      <c r="D58" s="14" t="s">
        <v>3237</v>
      </c>
      <c r="E58" s="14" t="s">
        <v>3157</v>
      </c>
    </row>
    <row r="59" customFormat="false" ht="15" hidden="false" customHeight="false" outlineLevel="0" collapsed="false">
      <c r="A59" s="14" t="s">
        <v>3176</v>
      </c>
      <c r="B59" s="14" t="s">
        <v>1330</v>
      </c>
      <c r="C59" s="14" t="s">
        <v>2616</v>
      </c>
      <c r="D59" s="14" t="s">
        <v>3238</v>
      </c>
      <c r="E59" s="14" t="s">
        <v>3157</v>
      </c>
    </row>
    <row r="60" customFormat="false" ht="15" hidden="false" customHeight="false" outlineLevel="0" collapsed="false">
      <c r="A60" s="14" t="s">
        <v>3176</v>
      </c>
      <c r="B60" s="14" t="s">
        <v>1330</v>
      </c>
      <c r="C60" s="14" t="s">
        <v>2624</v>
      </c>
      <c r="D60" s="14" t="s">
        <v>3239</v>
      </c>
      <c r="E60" s="14" t="s">
        <v>3157</v>
      </c>
    </row>
    <row r="61" customFormat="false" ht="15" hidden="false" customHeight="false" outlineLevel="0" collapsed="false">
      <c r="A61" s="14" t="s">
        <v>3176</v>
      </c>
      <c r="B61" s="14" t="s">
        <v>1330</v>
      </c>
      <c r="C61" s="14" t="s">
        <v>3240</v>
      </c>
      <c r="D61" s="14" t="s">
        <v>3241</v>
      </c>
      <c r="E61" s="14" t="s">
        <v>3157</v>
      </c>
    </row>
    <row r="62" customFormat="false" ht="15" hidden="false" customHeight="false" outlineLevel="0" collapsed="false">
      <c r="A62" s="14" t="s">
        <v>3176</v>
      </c>
      <c r="B62" s="14" t="s">
        <v>1330</v>
      </c>
      <c r="C62" s="14" t="s">
        <v>2633</v>
      </c>
      <c r="D62" s="14" t="s">
        <v>3242</v>
      </c>
      <c r="E62" s="14" t="s">
        <v>3157</v>
      </c>
    </row>
    <row r="63" customFormat="false" ht="15" hidden="false" customHeight="false" outlineLevel="0" collapsed="false">
      <c r="A63" s="14" t="s">
        <v>3176</v>
      </c>
      <c r="B63" s="14" t="s">
        <v>1330</v>
      </c>
      <c r="C63" s="14" t="s">
        <v>2655</v>
      </c>
      <c r="D63" s="14" t="s">
        <v>3243</v>
      </c>
      <c r="E63" s="14" t="s">
        <v>3157</v>
      </c>
    </row>
    <row r="64" customFormat="false" ht="15" hidden="false" customHeight="false" outlineLevel="0" collapsed="false">
      <c r="A64" s="14" t="s">
        <v>3176</v>
      </c>
      <c r="B64" s="14" t="s">
        <v>1330</v>
      </c>
      <c r="C64" s="14" t="s">
        <v>3244</v>
      </c>
      <c r="D64" s="14" t="s">
        <v>3245</v>
      </c>
      <c r="E64" s="14" t="s">
        <v>3157</v>
      </c>
    </row>
    <row r="65" customFormat="false" ht="15" hidden="false" customHeight="false" outlineLevel="0" collapsed="false">
      <c r="A65" s="14" t="s">
        <v>3176</v>
      </c>
      <c r="B65" s="14" t="s">
        <v>1330</v>
      </c>
      <c r="C65" s="14" t="s">
        <v>2661</v>
      </c>
      <c r="D65" s="14" t="s">
        <v>3246</v>
      </c>
      <c r="E65" s="14" t="s">
        <v>3157</v>
      </c>
    </row>
    <row r="66" customFormat="false" ht="15" hidden="false" customHeight="false" outlineLevel="0" collapsed="false">
      <c r="A66" s="14" t="s">
        <v>3176</v>
      </c>
      <c r="B66" s="14" t="s">
        <v>1330</v>
      </c>
      <c r="C66" s="14" t="s">
        <v>2670</v>
      </c>
      <c r="D66" s="14" t="s">
        <v>3247</v>
      </c>
      <c r="E66" s="14" t="s">
        <v>3157</v>
      </c>
    </row>
    <row r="67" customFormat="false" ht="15" hidden="false" customHeight="false" outlineLevel="0" collapsed="false">
      <c r="A67" s="14" t="s">
        <v>3176</v>
      </c>
      <c r="B67" s="14" t="s">
        <v>1330</v>
      </c>
      <c r="C67" s="14" t="s">
        <v>3248</v>
      </c>
      <c r="D67" s="14" t="s">
        <v>3249</v>
      </c>
      <c r="E67" s="14" t="s">
        <v>3157</v>
      </c>
    </row>
    <row r="68" customFormat="false" ht="15" hidden="false" customHeight="false" outlineLevel="0" collapsed="false">
      <c r="A68" s="14" t="s">
        <v>3176</v>
      </c>
      <c r="B68" s="14" t="s">
        <v>1330</v>
      </c>
      <c r="C68" s="14" t="s">
        <v>2755</v>
      </c>
      <c r="D68" s="14" t="s">
        <v>3250</v>
      </c>
      <c r="E68" s="14" t="s">
        <v>3157</v>
      </c>
    </row>
    <row r="69" customFormat="false" ht="15" hidden="false" customHeight="false" outlineLevel="0" collapsed="false">
      <c r="A69" s="14" t="s">
        <v>3176</v>
      </c>
      <c r="B69" s="14" t="s">
        <v>1330</v>
      </c>
      <c r="C69" s="14" t="s">
        <v>2768</v>
      </c>
      <c r="D69" s="14" t="s">
        <v>3251</v>
      </c>
      <c r="E69" s="14" t="s">
        <v>3157</v>
      </c>
    </row>
    <row r="70" customFormat="false" ht="15" hidden="false" customHeight="false" outlineLevel="0" collapsed="false">
      <c r="A70" s="14" t="s">
        <v>3176</v>
      </c>
      <c r="B70" s="14" t="s">
        <v>1330</v>
      </c>
      <c r="C70" s="14" t="s">
        <v>3252</v>
      </c>
      <c r="D70" s="14" t="s">
        <v>3253</v>
      </c>
      <c r="E70" s="14" t="s">
        <v>3157</v>
      </c>
    </row>
    <row r="71" customFormat="false" ht="15" hidden="false" customHeight="false" outlineLevel="0" collapsed="false">
      <c r="A71" s="14" t="s">
        <v>3176</v>
      </c>
      <c r="B71" s="14" t="s">
        <v>1330</v>
      </c>
      <c r="C71" s="14" t="s">
        <v>3254</v>
      </c>
      <c r="D71" s="14" t="s">
        <v>3255</v>
      </c>
      <c r="E71" s="14" t="s">
        <v>3157</v>
      </c>
    </row>
    <row r="72" customFormat="false" ht="15" hidden="false" customHeight="false" outlineLevel="0" collapsed="false">
      <c r="A72" s="14" t="s">
        <v>3176</v>
      </c>
      <c r="B72" s="14" t="s">
        <v>1330</v>
      </c>
      <c r="C72" s="14" t="s">
        <v>2798</v>
      </c>
      <c r="D72" s="14" t="s">
        <v>3256</v>
      </c>
      <c r="E72" s="14" t="s">
        <v>3157</v>
      </c>
    </row>
    <row r="73" customFormat="false" ht="15" hidden="false" customHeight="false" outlineLevel="0" collapsed="false">
      <c r="A73" s="14" t="s">
        <v>3176</v>
      </c>
      <c r="B73" s="14" t="s">
        <v>1330</v>
      </c>
      <c r="C73" s="14" t="s">
        <v>3257</v>
      </c>
      <c r="D73" s="14" t="s">
        <v>3258</v>
      </c>
      <c r="E73" s="14" t="s">
        <v>3157</v>
      </c>
    </row>
    <row r="74" customFormat="false" ht="15" hidden="false" customHeight="false" outlineLevel="0" collapsed="false">
      <c r="A74" s="14" t="s">
        <v>3176</v>
      </c>
      <c r="B74" s="14" t="s">
        <v>1330</v>
      </c>
      <c r="C74" s="14" t="s">
        <v>2817</v>
      </c>
      <c r="D74" s="14" t="s">
        <v>3259</v>
      </c>
      <c r="E74" s="14" t="s">
        <v>3157</v>
      </c>
    </row>
    <row r="75" customFormat="false" ht="15" hidden="false" customHeight="false" outlineLevel="0" collapsed="false">
      <c r="A75" s="14" t="s">
        <v>3176</v>
      </c>
      <c r="B75" s="14" t="s">
        <v>1330</v>
      </c>
      <c r="C75" s="14" t="s">
        <v>3260</v>
      </c>
      <c r="D75" s="14" t="s">
        <v>3261</v>
      </c>
      <c r="E75" s="14" t="s">
        <v>3157</v>
      </c>
    </row>
    <row r="76" customFormat="false" ht="15" hidden="false" customHeight="false" outlineLevel="0" collapsed="false">
      <c r="A76" s="14" t="s">
        <v>3176</v>
      </c>
      <c r="B76" s="14" t="s">
        <v>1330</v>
      </c>
      <c r="C76" s="14" t="s">
        <v>2846</v>
      </c>
      <c r="D76" s="14" t="s">
        <v>3262</v>
      </c>
      <c r="E76" s="14" t="s">
        <v>3157</v>
      </c>
    </row>
    <row r="77" customFormat="false" ht="15" hidden="false" customHeight="false" outlineLevel="0" collapsed="false">
      <c r="A77" s="14" t="s">
        <v>3176</v>
      </c>
      <c r="B77" s="14" t="s">
        <v>1330</v>
      </c>
      <c r="C77" s="14" t="s">
        <v>2851</v>
      </c>
      <c r="D77" s="14" t="s">
        <v>3263</v>
      </c>
      <c r="E77" s="14" t="s">
        <v>3157</v>
      </c>
    </row>
    <row r="78" customFormat="false" ht="15" hidden="false" customHeight="false" outlineLevel="0" collapsed="false">
      <c r="A78" s="14" t="s">
        <v>3176</v>
      </c>
      <c r="B78" s="14" t="s">
        <v>1330</v>
      </c>
      <c r="C78" s="14" t="s">
        <v>2880</v>
      </c>
      <c r="D78" s="14" t="s">
        <v>3264</v>
      </c>
      <c r="E78" s="14" t="s">
        <v>3157</v>
      </c>
    </row>
    <row r="79" customFormat="false" ht="15" hidden="false" customHeight="false" outlineLevel="0" collapsed="false">
      <c r="A79" s="14" t="s">
        <v>3176</v>
      </c>
      <c r="B79" s="14" t="s">
        <v>1330</v>
      </c>
      <c r="C79" s="14" t="s">
        <v>3265</v>
      </c>
      <c r="D79" s="14" t="s">
        <v>3266</v>
      </c>
      <c r="E79" s="14" t="s">
        <v>3157</v>
      </c>
    </row>
    <row r="80" customFormat="false" ht="15" hidden="false" customHeight="false" outlineLevel="0" collapsed="false">
      <c r="A80" s="14" t="s">
        <v>3176</v>
      </c>
      <c r="B80" s="14" t="s">
        <v>1330</v>
      </c>
      <c r="C80" s="14" t="s">
        <v>3267</v>
      </c>
      <c r="D80" s="14" t="s">
        <v>3268</v>
      </c>
      <c r="E80" s="14" t="s">
        <v>3157</v>
      </c>
    </row>
    <row r="81" customFormat="false" ht="15" hidden="false" customHeight="false" outlineLevel="0" collapsed="false">
      <c r="A81" s="14" t="s">
        <v>3176</v>
      </c>
      <c r="B81" s="14" t="s">
        <v>1330</v>
      </c>
      <c r="C81" s="14" t="s">
        <v>2898</v>
      </c>
      <c r="D81" s="14" t="s">
        <v>3269</v>
      </c>
      <c r="E81" s="14" t="s">
        <v>3157</v>
      </c>
    </row>
    <row r="82" customFormat="false" ht="15" hidden="false" customHeight="false" outlineLevel="0" collapsed="false">
      <c r="A82" s="14" t="s">
        <v>3176</v>
      </c>
      <c r="B82" s="14" t="s">
        <v>1330</v>
      </c>
      <c r="C82" s="14" t="s">
        <v>3270</v>
      </c>
      <c r="D82" s="14" t="s">
        <v>3271</v>
      </c>
      <c r="E82" s="14" t="s">
        <v>3157</v>
      </c>
    </row>
    <row r="83" customFormat="false" ht="15" hidden="false" customHeight="false" outlineLevel="0" collapsed="false">
      <c r="A83" s="14" t="s">
        <v>3176</v>
      </c>
      <c r="B83" s="14" t="s">
        <v>1330</v>
      </c>
      <c r="C83" s="14" t="s">
        <v>2910</v>
      </c>
      <c r="D83" s="14" t="s">
        <v>3272</v>
      </c>
      <c r="E83" s="14" t="s">
        <v>3157</v>
      </c>
    </row>
    <row r="84" customFormat="false" ht="15" hidden="false" customHeight="false" outlineLevel="0" collapsed="false">
      <c r="A84" s="14" t="s">
        <v>3176</v>
      </c>
      <c r="B84" s="14" t="s">
        <v>1330</v>
      </c>
      <c r="C84" s="14" t="s">
        <v>2922</v>
      </c>
      <c r="D84" s="14" t="s">
        <v>3273</v>
      </c>
      <c r="E84" s="14" t="s">
        <v>3157</v>
      </c>
    </row>
    <row r="85" customFormat="false" ht="15" hidden="false" customHeight="false" outlineLevel="0" collapsed="false">
      <c r="A85" s="14" t="s">
        <v>3176</v>
      </c>
      <c r="B85" s="14" t="s">
        <v>1330</v>
      </c>
      <c r="C85" s="14" t="s">
        <v>3274</v>
      </c>
      <c r="D85" s="14" t="s">
        <v>3275</v>
      </c>
      <c r="E85" s="14" t="s">
        <v>3157</v>
      </c>
    </row>
    <row r="86" customFormat="false" ht="15" hidden="false" customHeight="false" outlineLevel="0" collapsed="false">
      <c r="A86" s="14" t="s">
        <v>3176</v>
      </c>
      <c r="B86" s="14" t="s">
        <v>1330</v>
      </c>
      <c r="C86" s="14" t="s">
        <v>3276</v>
      </c>
      <c r="D86" s="14" t="s">
        <v>3277</v>
      </c>
      <c r="E86" s="14" t="s">
        <v>3157</v>
      </c>
    </row>
    <row r="87" customFormat="false" ht="15" hidden="false" customHeight="false" outlineLevel="0" collapsed="false">
      <c r="A87" s="14" t="s">
        <v>3150</v>
      </c>
      <c r="B87" s="14" t="s">
        <v>1330</v>
      </c>
      <c r="C87" s="14" t="s">
        <v>3152</v>
      </c>
      <c r="D87" s="14" t="s">
        <v>3278</v>
      </c>
      <c r="E87" s="14" t="s">
        <v>3157</v>
      </c>
    </row>
    <row r="88" customFormat="false" ht="15" hidden="false" customHeight="false" outlineLevel="0" collapsed="false">
      <c r="A88" s="14" t="s">
        <v>3150</v>
      </c>
      <c r="B88" s="14" t="s">
        <v>1330</v>
      </c>
      <c r="C88" s="14" t="s">
        <v>3279</v>
      </c>
      <c r="D88" s="14" t="s">
        <v>3280</v>
      </c>
      <c r="E88" s="14" t="s">
        <v>3157</v>
      </c>
    </row>
    <row r="89" customFormat="false" ht="15" hidden="false" customHeight="false" outlineLevel="0" collapsed="false">
      <c r="A89" s="14" t="s">
        <v>3281</v>
      </c>
      <c r="B89" s="14" t="s">
        <v>1330</v>
      </c>
      <c r="C89" s="14" t="s">
        <v>3282</v>
      </c>
      <c r="D89" s="14" t="s">
        <v>3283</v>
      </c>
      <c r="E89" s="14" t="s">
        <v>3157</v>
      </c>
    </row>
    <row r="90" customFormat="false" ht="15" hidden="false" customHeight="false" outlineLevel="0" collapsed="false">
      <c r="A90" s="14" t="s">
        <v>3281</v>
      </c>
      <c r="B90" s="14" t="s">
        <v>1330</v>
      </c>
      <c r="C90" s="14" t="s">
        <v>1622</v>
      </c>
      <c r="D90" s="14" t="s">
        <v>3284</v>
      </c>
      <c r="E90" s="14" t="s">
        <v>3157</v>
      </c>
    </row>
    <row r="91" customFormat="false" ht="15" hidden="false" customHeight="false" outlineLevel="0" collapsed="false">
      <c r="A91" s="14" t="s">
        <v>3281</v>
      </c>
      <c r="B91" s="14" t="s">
        <v>1330</v>
      </c>
      <c r="C91" s="14" t="s">
        <v>3285</v>
      </c>
      <c r="D91" s="14" t="s">
        <v>3286</v>
      </c>
      <c r="E91" s="14" t="s">
        <v>3157</v>
      </c>
    </row>
    <row r="92" customFormat="false" ht="15" hidden="false" customHeight="false" outlineLevel="0" collapsed="false">
      <c r="A92" s="14" t="s">
        <v>3281</v>
      </c>
      <c r="B92" s="14" t="s">
        <v>1330</v>
      </c>
      <c r="C92" s="14" t="s">
        <v>1180</v>
      </c>
      <c r="D92" s="14" t="s">
        <v>3287</v>
      </c>
      <c r="E92" s="14" t="s">
        <v>3157</v>
      </c>
    </row>
    <row r="93" customFormat="false" ht="15" hidden="false" customHeight="false" outlineLevel="0" collapsed="false">
      <c r="A93" s="14" t="s">
        <v>3281</v>
      </c>
      <c r="B93" s="14" t="s">
        <v>1330</v>
      </c>
      <c r="C93" s="14" t="s">
        <v>3288</v>
      </c>
      <c r="D93" s="14" t="s">
        <v>3289</v>
      </c>
      <c r="E93" s="14" t="s">
        <v>3157</v>
      </c>
    </row>
    <row r="94" customFormat="false" ht="22.35" hidden="false" customHeight="false" outlineLevel="0" collapsed="false">
      <c r="A94" s="14" t="s">
        <v>3290</v>
      </c>
      <c r="B94" s="14" t="s">
        <v>3291</v>
      </c>
      <c r="C94" s="14" t="s">
        <v>3292</v>
      </c>
      <c r="D94" s="14" t="s">
        <v>3293</v>
      </c>
      <c r="E94" s="14" t="s">
        <v>3294</v>
      </c>
    </row>
    <row r="95" customFormat="false" ht="22.35" hidden="false" customHeight="false" outlineLevel="0" collapsed="false">
      <c r="A95" s="14" t="s">
        <v>3290</v>
      </c>
      <c r="B95" s="14" t="s">
        <v>3295</v>
      </c>
      <c r="C95" s="14" t="s">
        <v>3292</v>
      </c>
      <c r="D95" s="14" t="s">
        <v>3293</v>
      </c>
      <c r="E95" s="14" t="s">
        <v>3294</v>
      </c>
    </row>
    <row r="96" customFormat="false" ht="15" hidden="false" customHeight="false" outlineLevel="0" collapsed="false">
      <c r="A96" s="14" t="s">
        <v>3290</v>
      </c>
      <c r="B96" s="14" t="s">
        <v>3296</v>
      </c>
      <c r="C96" s="14" t="s">
        <v>3297</v>
      </c>
      <c r="D96" s="14" t="s">
        <v>3298</v>
      </c>
      <c r="E96" s="14" t="s">
        <v>3299</v>
      </c>
    </row>
    <row r="97" customFormat="false" ht="15" hidden="false" customHeight="false" outlineLevel="0" collapsed="false">
      <c r="A97" s="14" t="s">
        <v>3290</v>
      </c>
      <c r="B97" s="14" t="s">
        <v>3300</v>
      </c>
      <c r="C97" s="14" t="s">
        <v>3301</v>
      </c>
      <c r="D97" s="14" t="s">
        <v>3302</v>
      </c>
      <c r="E97" s="14" t="s">
        <v>3303</v>
      </c>
    </row>
    <row r="98" customFormat="false" ht="22.35" hidden="false" customHeight="false" outlineLevel="0" collapsed="false">
      <c r="A98" s="14" t="s">
        <v>3290</v>
      </c>
      <c r="B98" s="14" t="s">
        <v>3304</v>
      </c>
      <c r="C98" s="14" t="s">
        <v>3305</v>
      </c>
      <c r="D98" s="14" t="s">
        <v>3306</v>
      </c>
      <c r="E98" s="14" t="s">
        <v>3307</v>
      </c>
    </row>
    <row r="99" customFormat="false" ht="15" hidden="false" customHeight="false" outlineLevel="0" collapsed="false">
      <c r="A99" s="14" t="s">
        <v>3308</v>
      </c>
      <c r="B99" s="14" t="s">
        <v>3309</v>
      </c>
      <c r="C99" s="14" t="s">
        <v>3310</v>
      </c>
      <c r="D99" s="14" t="s">
        <v>3311</v>
      </c>
      <c r="E99" s="14" t="s">
        <v>3312</v>
      </c>
    </row>
    <row r="100" customFormat="false" ht="15" hidden="false" customHeight="false" outlineLevel="0" collapsed="false">
      <c r="A100" s="14" t="s">
        <v>3313</v>
      </c>
      <c r="B100" s="14" t="s">
        <v>3314</v>
      </c>
      <c r="C100" s="14" t="s">
        <v>1330</v>
      </c>
      <c r="D100" s="14" t="s">
        <v>3315</v>
      </c>
      <c r="E100" s="14" t="s">
        <v>3316</v>
      </c>
    </row>
    <row r="101" customFormat="false" ht="22.35" hidden="false" customHeight="false" outlineLevel="0" collapsed="false">
      <c r="A101" s="14" t="s">
        <v>3317</v>
      </c>
      <c r="B101" s="14" t="s">
        <v>1330</v>
      </c>
      <c r="C101" s="14" t="s">
        <v>3318</v>
      </c>
      <c r="D101" s="14" t="s">
        <v>3319</v>
      </c>
      <c r="E101" s="14" t="s">
        <v>3320</v>
      </c>
    </row>
    <row r="102" customFormat="false" ht="22.35" hidden="false" customHeight="false" outlineLevel="0" collapsed="false">
      <c r="A102" s="14" t="s">
        <v>3321</v>
      </c>
      <c r="B102" s="14" t="s">
        <v>3322</v>
      </c>
      <c r="C102" s="14" t="s">
        <v>1330</v>
      </c>
      <c r="D102" s="14" t="s">
        <v>3323</v>
      </c>
      <c r="E102" s="14" t="s">
        <v>3324</v>
      </c>
    </row>
    <row r="103" customFormat="false" ht="15" hidden="false" customHeight="false" outlineLevel="0" collapsed="false">
      <c r="A103" s="14" t="s">
        <v>3325</v>
      </c>
      <c r="B103" s="14" t="s">
        <v>3326</v>
      </c>
      <c r="C103" s="14" t="s">
        <v>1330</v>
      </c>
      <c r="D103" s="14" t="s">
        <v>3327</v>
      </c>
      <c r="E103" s="14" t="s">
        <v>3328</v>
      </c>
    </row>
    <row r="104" customFormat="false" ht="15" hidden="false" customHeight="false" outlineLevel="0" collapsed="false">
      <c r="A104" s="14" t="s">
        <v>3329</v>
      </c>
      <c r="B104" s="14" t="s">
        <v>3330</v>
      </c>
      <c r="C104" s="14" t="s">
        <v>1330</v>
      </c>
      <c r="D104" s="14" t="s">
        <v>3331</v>
      </c>
      <c r="E104" s="14" t="s">
        <v>3332</v>
      </c>
    </row>
    <row r="105" customFormat="false" ht="32.8" hidden="false" customHeight="false" outlineLevel="0" collapsed="false">
      <c r="A105" s="14" t="s">
        <v>3333</v>
      </c>
      <c r="B105" s="14" t="s">
        <v>3334</v>
      </c>
      <c r="C105" s="14" t="s">
        <v>1330</v>
      </c>
      <c r="D105" s="14" t="s">
        <v>3335</v>
      </c>
      <c r="E105" s="14" t="s">
        <v>3336</v>
      </c>
    </row>
    <row r="106" customFormat="false" ht="22.35" hidden="false" customHeight="false" outlineLevel="0" collapsed="false">
      <c r="A106" s="14" t="s">
        <v>3337</v>
      </c>
      <c r="B106" s="14" t="s">
        <v>3338</v>
      </c>
      <c r="C106" s="14" t="s">
        <v>1330</v>
      </c>
      <c r="D106" s="14" t="s">
        <v>3339</v>
      </c>
      <c r="E106" s="14" t="s">
        <v>3340</v>
      </c>
    </row>
    <row r="107" customFormat="false" ht="22.35" hidden="false" customHeight="false" outlineLevel="0" collapsed="false">
      <c r="A107" s="14" t="s">
        <v>3341</v>
      </c>
      <c r="B107" s="14" t="s">
        <v>3342</v>
      </c>
      <c r="C107" s="14" t="s">
        <v>1330</v>
      </c>
      <c r="D107" s="14" t="s">
        <v>3343</v>
      </c>
      <c r="E107" s="14" t="s">
        <v>3344</v>
      </c>
    </row>
    <row r="108" customFormat="false" ht="15" hidden="false" customHeight="false" outlineLevel="0" collapsed="false">
      <c r="A108" s="14" t="s">
        <v>3341</v>
      </c>
      <c r="B108" s="14" t="s">
        <v>3345</v>
      </c>
      <c r="C108" s="14" t="s">
        <v>1330</v>
      </c>
      <c r="D108" s="14" t="s">
        <v>3346</v>
      </c>
      <c r="E108" s="14" t="s">
        <v>3347</v>
      </c>
    </row>
    <row r="109" customFormat="false" ht="22.35" hidden="false" customHeight="false" outlineLevel="0" collapsed="false">
      <c r="A109" s="14" t="s">
        <v>3135</v>
      </c>
      <c r="B109" s="14" t="s">
        <v>1330</v>
      </c>
      <c r="C109" s="14" t="s">
        <v>2228</v>
      </c>
      <c r="D109" s="14" t="s">
        <v>3348</v>
      </c>
      <c r="E109" s="14" t="s">
        <v>3349</v>
      </c>
    </row>
    <row r="110" customFormat="false" ht="22.35" hidden="false" customHeight="false" outlineLevel="0" collapsed="false">
      <c r="A110" s="14" t="s">
        <v>3337</v>
      </c>
      <c r="B110" s="14" t="s">
        <v>1330</v>
      </c>
      <c r="C110" s="14" t="s">
        <v>3350</v>
      </c>
      <c r="D110" s="14" t="s">
        <v>3351</v>
      </c>
      <c r="E110" s="14" t="s">
        <v>3352</v>
      </c>
    </row>
  </sheetData>
  <autoFilter ref="A1:E110"/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3" t="s">
        <v>3353</v>
      </c>
      <c r="B1" s="13" t="s">
        <v>3354</v>
      </c>
      <c r="C1" s="13" t="s">
        <v>3355</v>
      </c>
      <c r="D1" s="13" t="s">
        <v>3356</v>
      </c>
      <c r="E1" s="13" t="s">
        <v>3357</v>
      </c>
    </row>
    <row r="2" customFormat="false" ht="22.35" hidden="false" customHeight="false" outlineLevel="0" collapsed="false">
      <c r="A2" s="14" t="s">
        <v>3358</v>
      </c>
      <c r="B2" s="14" t="s">
        <v>3359</v>
      </c>
      <c r="C2" s="14" t="s">
        <v>3360</v>
      </c>
      <c r="D2" s="14" t="s">
        <v>3361</v>
      </c>
      <c r="E2" s="14" t="s">
        <v>3362</v>
      </c>
    </row>
    <row r="3" customFormat="false" ht="15" hidden="false" customHeight="false" outlineLevel="0" collapsed="false">
      <c r="A3" s="14" t="s">
        <v>3358</v>
      </c>
      <c r="B3" s="14" t="s">
        <v>3359</v>
      </c>
      <c r="C3" s="14" t="s">
        <v>3363</v>
      </c>
      <c r="D3" s="14" t="s">
        <v>3364</v>
      </c>
      <c r="E3" s="14" t="s">
        <v>3362</v>
      </c>
    </row>
    <row r="4" customFormat="false" ht="22.35" hidden="false" customHeight="false" outlineLevel="0" collapsed="false">
      <c r="A4" s="14" t="s">
        <v>3358</v>
      </c>
      <c r="B4" s="14" t="s">
        <v>3365</v>
      </c>
      <c r="C4" s="14" t="s">
        <v>3366</v>
      </c>
      <c r="D4" s="14" t="s">
        <v>3367</v>
      </c>
      <c r="E4" s="14" t="s">
        <v>3368</v>
      </c>
    </row>
    <row r="5" customFormat="false" ht="15" hidden="false" customHeight="false" outlineLevel="0" collapsed="false">
      <c r="A5" s="14" t="s">
        <v>3358</v>
      </c>
      <c r="B5" s="14" t="s">
        <v>3369</v>
      </c>
      <c r="C5" s="14" t="s">
        <v>3370</v>
      </c>
      <c r="D5" s="14" t="s">
        <v>3371</v>
      </c>
      <c r="E5" s="14" t="s">
        <v>3372</v>
      </c>
    </row>
    <row r="6" customFormat="false" ht="22.35" hidden="false" customHeight="false" outlineLevel="0" collapsed="false">
      <c r="A6" s="14" t="s">
        <v>3358</v>
      </c>
      <c r="B6" s="14" t="s">
        <v>3369</v>
      </c>
      <c r="C6" s="14" t="s">
        <v>3373</v>
      </c>
      <c r="D6" s="14" t="s">
        <v>3374</v>
      </c>
      <c r="E6" s="14" t="s">
        <v>3372</v>
      </c>
    </row>
    <row r="7" customFormat="false" ht="22.35" hidden="false" customHeight="false" outlineLevel="0" collapsed="false">
      <c r="A7" s="14" t="s">
        <v>3358</v>
      </c>
      <c r="B7" s="14" t="s">
        <v>3375</v>
      </c>
      <c r="C7" s="14" t="s">
        <v>3376</v>
      </c>
      <c r="D7" s="14" t="s">
        <v>3377</v>
      </c>
      <c r="E7" s="14" t="s">
        <v>3378</v>
      </c>
    </row>
    <row r="8" customFormat="false" ht="22.35" hidden="false" customHeight="false" outlineLevel="0" collapsed="false">
      <c r="A8" s="14" t="s">
        <v>3379</v>
      </c>
      <c r="B8" s="14" t="s">
        <v>3380</v>
      </c>
      <c r="C8" s="14" t="s">
        <v>3381</v>
      </c>
      <c r="D8" s="14" t="s">
        <v>3382</v>
      </c>
      <c r="E8" s="14" t="s">
        <v>3372</v>
      </c>
    </row>
    <row r="9" customFormat="false" ht="22.35" hidden="false" customHeight="false" outlineLevel="0" collapsed="false">
      <c r="A9" s="14" t="s">
        <v>3379</v>
      </c>
      <c r="B9" s="14" t="s">
        <v>1253</v>
      </c>
      <c r="C9" s="14" t="s">
        <v>3383</v>
      </c>
      <c r="D9" s="14" t="s">
        <v>3384</v>
      </c>
      <c r="E9" s="14" t="s">
        <v>3362</v>
      </c>
    </row>
    <row r="10" customFormat="false" ht="22.35" hidden="false" customHeight="false" outlineLevel="0" collapsed="false">
      <c r="A10" s="14" t="s">
        <v>3379</v>
      </c>
      <c r="B10" s="14" t="s">
        <v>3385</v>
      </c>
      <c r="C10" s="14" t="s">
        <v>3386</v>
      </c>
      <c r="D10" s="14" t="s">
        <v>3387</v>
      </c>
      <c r="E10" s="14" t="s">
        <v>3362</v>
      </c>
    </row>
    <row r="11" customFormat="false" ht="22.35" hidden="false" customHeight="false" outlineLevel="0" collapsed="false">
      <c r="A11" s="14" t="s">
        <v>3379</v>
      </c>
      <c r="B11" s="14" t="s">
        <v>3388</v>
      </c>
      <c r="C11" s="14" t="s">
        <v>3389</v>
      </c>
      <c r="D11" s="14" t="s">
        <v>3390</v>
      </c>
      <c r="E11" s="14" t="s">
        <v>3362</v>
      </c>
    </row>
    <row r="12" customFormat="false" ht="22.35" hidden="false" customHeight="false" outlineLevel="0" collapsed="false">
      <c r="A12" s="14" t="s">
        <v>3379</v>
      </c>
      <c r="B12" s="14" t="s">
        <v>3357</v>
      </c>
      <c r="C12" s="14" t="s">
        <v>3391</v>
      </c>
      <c r="D12" s="14" t="s">
        <v>3392</v>
      </c>
      <c r="E12" s="14" t="s">
        <v>3362</v>
      </c>
    </row>
    <row r="13" customFormat="false" ht="32.8" hidden="false" customHeight="false" outlineLevel="0" collapsed="false">
      <c r="A13" s="14" t="s">
        <v>3358</v>
      </c>
      <c r="B13" s="14" t="s">
        <v>3393</v>
      </c>
      <c r="C13" s="14" t="s">
        <v>3394</v>
      </c>
      <c r="D13" s="14" t="s">
        <v>3395</v>
      </c>
      <c r="E13" s="14" t="s">
        <v>3396</v>
      </c>
    </row>
    <row r="14" customFormat="false" ht="15" hidden="false" customHeight="false" outlineLevel="0" collapsed="false">
      <c r="A14" s="14" t="s">
        <v>3397</v>
      </c>
      <c r="B14" s="14" t="s">
        <v>3398</v>
      </c>
      <c r="C14" s="14" t="s">
        <v>3399</v>
      </c>
      <c r="D14" s="14" t="s">
        <v>3400</v>
      </c>
      <c r="E14" s="14" t="s">
        <v>3362</v>
      </c>
    </row>
    <row r="15" customFormat="false" ht="22.35" hidden="false" customHeight="false" outlineLevel="0" collapsed="false">
      <c r="A15" s="14" t="s">
        <v>3397</v>
      </c>
      <c r="B15" s="14" t="s">
        <v>3365</v>
      </c>
      <c r="C15" s="14" t="s">
        <v>3401</v>
      </c>
      <c r="D15" s="14" t="s">
        <v>3402</v>
      </c>
      <c r="E15" s="14" t="s">
        <v>3403</v>
      </c>
    </row>
    <row r="16" customFormat="false" ht="15" hidden="false" customHeight="false" outlineLevel="0" collapsed="false">
      <c r="A16" s="14" t="s">
        <v>3397</v>
      </c>
      <c r="B16" s="14" t="s">
        <v>3404</v>
      </c>
      <c r="C16" s="14" t="s">
        <v>3405</v>
      </c>
      <c r="D16" s="14" t="s">
        <v>3406</v>
      </c>
      <c r="E16" s="14" t="s">
        <v>3407</v>
      </c>
    </row>
    <row r="17" customFormat="false" ht="15" hidden="false" customHeight="false" outlineLevel="0" collapsed="false">
      <c r="A17" s="14" t="s">
        <v>3397</v>
      </c>
      <c r="B17" s="14" t="s">
        <v>3408</v>
      </c>
      <c r="C17" s="14" t="s">
        <v>3409</v>
      </c>
      <c r="D17" s="14" t="s">
        <v>3410</v>
      </c>
      <c r="E17" s="14" t="s">
        <v>3407</v>
      </c>
    </row>
    <row r="18" customFormat="false" ht="22.35" hidden="false" customHeight="false" outlineLevel="0" collapsed="false">
      <c r="A18" s="14" t="s">
        <v>3358</v>
      </c>
      <c r="B18" s="14" t="s">
        <v>3369</v>
      </c>
      <c r="C18" s="14" t="s">
        <v>3411</v>
      </c>
      <c r="D18" s="14" t="s">
        <v>3412</v>
      </c>
      <c r="E18" s="14" t="s">
        <v>3372</v>
      </c>
    </row>
    <row r="19" customFormat="false" ht="22.35" hidden="false" customHeight="false" outlineLevel="0" collapsed="false">
      <c r="A19" s="14" t="s">
        <v>3379</v>
      </c>
      <c r="B19" s="14" t="s">
        <v>3369</v>
      </c>
      <c r="C19" s="14" t="s">
        <v>3413</v>
      </c>
      <c r="D19" s="14" t="s">
        <v>3414</v>
      </c>
      <c r="E19" s="14" t="s">
        <v>3372</v>
      </c>
    </row>
    <row r="20" customFormat="false" ht="15" hidden="false" customHeight="false" outlineLevel="0" collapsed="false">
      <c r="A20" s="14" t="s">
        <v>3379</v>
      </c>
      <c r="B20" s="14" t="s">
        <v>3369</v>
      </c>
      <c r="C20" s="14" t="s">
        <v>3415</v>
      </c>
      <c r="D20" s="14" t="s">
        <v>3416</v>
      </c>
      <c r="E20" s="14" t="s">
        <v>3372</v>
      </c>
    </row>
    <row r="21" customFormat="false" ht="15" hidden="false" customHeight="false" outlineLevel="0" collapsed="false">
      <c r="A21" s="14" t="s">
        <v>3397</v>
      </c>
      <c r="B21" s="14" t="s">
        <v>3369</v>
      </c>
      <c r="C21" s="14" t="s">
        <v>3417</v>
      </c>
      <c r="D21" s="14" t="s">
        <v>3418</v>
      </c>
      <c r="E21" s="14" t="s">
        <v>3372</v>
      </c>
    </row>
    <row r="22" customFormat="false" ht="22.35" hidden="false" customHeight="false" outlineLevel="0" collapsed="false">
      <c r="A22" s="14" t="s">
        <v>3379</v>
      </c>
      <c r="B22" s="14" t="s">
        <v>3408</v>
      </c>
      <c r="C22" s="14" t="s">
        <v>3419</v>
      </c>
      <c r="D22" s="14" t="s">
        <v>3420</v>
      </c>
      <c r="E22" s="14" t="s">
        <v>3421</v>
      </c>
    </row>
  </sheetData>
  <autoFilter ref="A1:E22"/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0"/>
    <col collapsed="false" customWidth="true" hidden="false" outlineLevel="0" max="3" min="3" style="0" width="20"/>
  </cols>
  <sheetData>
    <row r="1" customFormat="false" ht="33.75" hidden="false" customHeight="true" outlineLevel="0" collapsed="false">
      <c r="A1" s="13" t="s">
        <v>3422</v>
      </c>
      <c r="B1" s="13" t="s">
        <v>3423</v>
      </c>
      <c r="C1" s="13" t="s">
        <v>3424</v>
      </c>
    </row>
    <row r="2" customFormat="false" ht="15" hidden="false" customHeight="false" outlineLevel="0" collapsed="false">
      <c r="A2" s="14" t="s">
        <v>3425</v>
      </c>
      <c r="B2" s="14" t="s">
        <v>3426</v>
      </c>
      <c r="C2" s="14" t="s">
        <v>3427</v>
      </c>
    </row>
    <row r="3" customFormat="false" ht="15" hidden="false" customHeight="false" outlineLevel="0" collapsed="false">
      <c r="A3" s="14" t="s">
        <v>3428</v>
      </c>
      <c r="B3" s="14" t="s">
        <v>3429</v>
      </c>
      <c r="C3" s="14" t="s">
        <v>3427</v>
      </c>
    </row>
    <row r="4" customFormat="false" ht="15" hidden="false" customHeight="false" outlineLevel="0" collapsed="false">
      <c r="A4" s="14" t="s">
        <v>3430</v>
      </c>
      <c r="B4" s="14" t="s">
        <v>3431</v>
      </c>
      <c r="C4" s="14" t="s">
        <v>3427</v>
      </c>
    </row>
    <row r="5" customFormat="false" ht="15" hidden="false" customHeight="false" outlineLevel="0" collapsed="false">
      <c r="A5" s="14" t="s">
        <v>3432</v>
      </c>
      <c r="B5" s="14" t="s">
        <v>3433</v>
      </c>
      <c r="C5" s="14" t="s">
        <v>3427</v>
      </c>
    </row>
    <row r="6" customFormat="false" ht="15" hidden="false" customHeight="false" outlineLevel="0" collapsed="false">
      <c r="A6" s="14" t="s">
        <v>3434</v>
      </c>
      <c r="B6" s="14" t="s">
        <v>3435</v>
      </c>
      <c r="C6" s="14" t="s">
        <v>3427</v>
      </c>
    </row>
    <row r="7" customFormat="false" ht="15" hidden="false" customHeight="false" outlineLevel="0" collapsed="false">
      <c r="A7" s="14" t="s">
        <v>3436</v>
      </c>
      <c r="B7" s="14" t="s">
        <v>3437</v>
      </c>
      <c r="C7" s="14" t="s">
        <v>3427</v>
      </c>
    </row>
    <row r="8" customFormat="false" ht="15" hidden="false" customHeight="false" outlineLevel="0" collapsed="false">
      <c r="A8" s="14" t="s">
        <v>3438</v>
      </c>
      <c r="B8" s="14" t="s">
        <v>3431</v>
      </c>
      <c r="C8" s="14" t="s">
        <v>3427</v>
      </c>
    </row>
    <row r="9" customFormat="false" ht="22.35" hidden="false" customHeight="false" outlineLevel="0" collapsed="false">
      <c r="A9" s="14" t="s">
        <v>3439</v>
      </c>
      <c r="B9" s="14" t="s">
        <v>3440</v>
      </c>
      <c r="C9" s="14" t="s">
        <v>3427</v>
      </c>
    </row>
    <row r="10" customFormat="false" ht="15" hidden="false" customHeight="false" outlineLevel="0" collapsed="false">
      <c r="A10" s="14" t="s">
        <v>3441</v>
      </c>
      <c r="B10" s="14" t="s">
        <v>3431</v>
      </c>
      <c r="C10" s="14" t="s">
        <v>3427</v>
      </c>
    </row>
    <row r="11" customFormat="false" ht="15" hidden="false" customHeight="false" outlineLevel="0" collapsed="false">
      <c r="A11" s="14" t="s">
        <v>3442</v>
      </c>
      <c r="B11" s="14" t="s">
        <v>3431</v>
      </c>
      <c r="C11" s="14" t="s">
        <v>3427</v>
      </c>
    </row>
    <row r="12" customFormat="false" ht="15" hidden="false" customHeight="false" outlineLevel="0" collapsed="false">
      <c r="A12" s="14" t="s">
        <v>3443</v>
      </c>
      <c r="B12" s="14" t="s">
        <v>3444</v>
      </c>
      <c r="C12" s="14" t="s">
        <v>3427</v>
      </c>
    </row>
    <row r="13" customFormat="false" ht="15" hidden="false" customHeight="false" outlineLevel="0" collapsed="false">
      <c r="A13" s="14" t="s">
        <v>3445</v>
      </c>
      <c r="B13" s="14" t="s">
        <v>3446</v>
      </c>
      <c r="C13" s="14" t="s">
        <v>3427</v>
      </c>
    </row>
    <row r="14" customFormat="false" ht="15" hidden="false" customHeight="false" outlineLevel="0" collapsed="false">
      <c r="A14" s="14" t="s">
        <v>3447</v>
      </c>
      <c r="B14" s="14" t="s">
        <v>3448</v>
      </c>
      <c r="C14" s="14" t="s">
        <v>3427</v>
      </c>
    </row>
    <row r="15" customFormat="false" ht="15" hidden="false" customHeight="false" outlineLevel="0" collapsed="false">
      <c r="A15" s="14" t="s">
        <v>3449</v>
      </c>
      <c r="B15" s="14" t="s">
        <v>3450</v>
      </c>
      <c r="C15" s="14" t="s">
        <v>3427</v>
      </c>
    </row>
    <row r="16" customFormat="false" ht="15" hidden="false" customHeight="false" outlineLevel="0" collapsed="false">
      <c r="A16" s="14" t="s">
        <v>3451</v>
      </c>
      <c r="B16" s="14" t="s">
        <v>3452</v>
      </c>
      <c r="C16" s="14" t="s">
        <v>3427</v>
      </c>
    </row>
    <row r="17" customFormat="false" ht="15" hidden="false" customHeight="false" outlineLevel="0" collapsed="false">
      <c r="A17" s="14" t="s">
        <v>3453</v>
      </c>
      <c r="B17" s="14" t="s">
        <v>3454</v>
      </c>
      <c r="C17" s="14" t="s">
        <v>3427</v>
      </c>
    </row>
    <row r="18" customFormat="false" ht="15" hidden="false" customHeight="false" outlineLevel="0" collapsed="false">
      <c r="A18" s="14" t="s">
        <v>3455</v>
      </c>
      <c r="B18" s="14" t="s">
        <v>3456</v>
      </c>
      <c r="C18" s="14" t="s">
        <v>3427</v>
      </c>
    </row>
    <row r="19" customFormat="false" ht="15" hidden="false" customHeight="false" outlineLevel="0" collapsed="false">
      <c r="A19" s="14" t="s">
        <v>3457</v>
      </c>
      <c r="B19" s="14" t="s">
        <v>3458</v>
      </c>
      <c r="C19" s="14" t="s">
        <v>3427</v>
      </c>
    </row>
    <row r="20" customFormat="false" ht="15" hidden="false" customHeight="false" outlineLevel="0" collapsed="false">
      <c r="A20" s="14" t="s">
        <v>3459</v>
      </c>
      <c r="B20" s="14" t="s">
        <v>3460</v>
      </c>
      <c r="C20" s="14" t="s">
        <v>3427</v>
      </c>
    </row>
    <row r="21" customFormat="false" ht="15" hidden="false" customHeight="false" outlineLevel="0" collapsed="false">
      <c r="A21" s="14" t="s">
        <v>3461</v>
      </c>
      <c r="B21" s="14" t="s">
        <v>3462</v>
      </c>
      <c r="C21" s="14" t="s">
        <v>3463</v>
      </c>
    </row>
    <row r="22" customFormat="false" ht="15" hidden="false" customHeight="false" outlineLevel="0" collapsed="false">
      <c r="A22" s="14" t="s">
        <v>3464</v>
      </c>
      <c r="B22" s="14" t="s">
        <v>3465</v>
      </c>
      <c r="C22" s="14" t="s">
        <v>3466</v>
      </c>
    </row>
    <row r="23" customFormat="false" ht="15" hidden="false" customHeight="false" outlineLevel="0" collapsed="false">
      <c r="A23" s="14" t="s">
        <v>3467</v>
      </c>
      <c r="B23" s="14" t="s">
        <v>3465</v>
      </c>
      <c r="C23" s="14" t="s">
        <v>3466</v>
      </c>
    </row>
    <row r="24" customFormat="false" ht="15" hidden="false" customHeight="false" outlineLevel="0" collapsed="false">
      <c r="A24" s="14" t="s">
        <v>3468</v>
      </c>
      <c r="B24" s="14" t="s">
        <v>3465</v>
      </c>
      <c r="C24" s="14" t="s">
        <v>3466</v>
      </c>
    </row>
    <row r="25" customFormat="false" ht="15" hidden="false" customHeight="false" outlineLevel="0" collapsed="false">
      <c r="A25" s="14" t="s">
        <v>3469</v>
      </c>
      <c r="B25" s="14" t="s">
        <v>3470</v>
      </c>
      <c r="C25" s="14" t="s">
        <v>3466</v>
      </c>
    </row>
    <row r="26" customFormat="false" ht="15" hidden="false" customHeight="false" outlineLevel="0" collapsed="false">
      <c r="A26" s="14" t="s">
        <v>3471</v>
      </c>
      <c r="B26" s="14" t="s">
        <v>3470</v>
      </c>
      <c r="C26" s="14" t="s">
        <v>3466</v>
      </c>
    </row>
    <row r="27" customFormat="false" ht="15" hidden="false" customHeight="false" outlineLevel="0" collapsed="false">
      <c r="A27" s="14" t="s">
        <v>3472</v>
      </c>
      <c r="B27" s="14" t="s">
        <v>3473</v>
      </c>
      <c r="C27" s="14" t="s">
        <v>3466</v>
      </c>
    </row>
    <row r="28" customFormat="false" ht="15" hidden="false" customHeight="false" outlineLevel="0" collapsed="false">
      <c r="A28" s="14" t="s">
        <v>3474</v>
      </c>
      <c r="B28" s="14" t="s">
        <v>3473</v>
      </c>
      <c r="C28" s="14" t="s">
        <v>3466</v>
      </c>
    </row>
    <row r="29" customFormat="false" ht="15" hidden="false" customHeight="false" outlineLevel="0" collapsed="false">
      <c r="A29" s="14" t="s">
        <v>3475</v>
      </c>
      <c r="B29" s="14" t="s">
        <v>3476</v>
      </c>
      <c r="C29" s="14" t="s">
        <v>3466</v>
      </c>
    </row>
    <row r="30" customFormat="false" ht="15" hidden="false" customHeight="false" outlineLevel="0" collapsed="false">
      <c r="A30" s="14" t="s">
        <v>3477</v>
      </c>
      <c r="B30" s="14" t="s">
        <v>3476</v>
      </c>
      <c r="C30" s="14" t="s">
        <v>3466</v>
      </c>
    </row>
    <row r="31" customFormat="false" ht="15" hidden="false" customHeight="false" outlineLevel="0" collapsed="false">
      <c r="A31" s="14" t="s">
        <v>3478</v>
      </c>
      <c r="B31" s="14" t="s">
        <v>3465</v>
      </c>
      <c r="C31" s="14" t="s">
        <v>3466</v>
      </c>
    </row>
    <row r="32" customFormat="false" ht="15" hidden="false" customHeight="false" outlineLevel="0" collapsed="false">
      <c r="A32" s="14" t="s">
        <v>3479</v>
      </c>
      <c r="B32" s="14" t="s">
        <v>3465</v>
      </c>
      <c r="C32" s="14" t="s">
        <v>3466</v>
      </c>
    </row>
    <row r="33" customFormat="false" ht="15" hidden="false" customHeight="false" outlineLevel="0" collapsed="false">
      <c r="A33" s="14" t="s">
        <v>3480</v>
      </c>
      <c r="B33" s="14" t="s">
        <v>3465</v>
      </c>
      <c r="C33" s="14" t="s">
        <v>3466</v>
      </c>
    </row>
    <row r="34" customFormat="false" ht="15" hidden="false" customHeight="false" outlineLevel="0" collapsed="false">
      <c r="A34" s="14" t="s">
        <v>3481</v>
      </c>
      <c r="B34" s="14" t="s">
        <v>3465</v>
      </c>
      <c r="C34" s="14" t="s">
        <v>3466</v>
      </c>
    </row>
    <row r="35" customFormat="false" ht="15" hidden="false" customHeight="false" outlineLevel="0" collapsed="false">
      <c r="A35" s="14" t="s">
        <v>3482</v>
      </c>
      <c r="B35" s="14" t="s">
        <v>3465</v>
      </c>
      <c r="C35" s="14" t="s">
        <v>3466</v>
      </c>
    </row>
    <row r="36" customFormat="false" ht="15" hidden="false" customHeight="false" outlineLevel="0" collapsed="false">
      <c r="A36" s="14" t="s">
        <v>3483</v>
      </c>
      <c r="B36" s="14" t="s">
        <v>3465</v>
      </c>
      <c r="C36" s="14" t="s">
        <v>3466</v>
      </c>
    </row>
    <row r="37" customFormat="false" ht="15" hidden="false" customHeight="false" outlineLevel="0" collapsed="false">
      <c r="A37" s="14" t="s">
        <v>3484</v>
      </c>
      <c r="B37" s="14" t="s">
        <v>3465</v>
      </c>
      <c r="C37" s="14" t="s">
        <v>3466</v>
      </c>
    </row>
    <row r="38" customFormat="false" ht="15" hidden="false" customHeight="false" outlineLevel="0" collapsed="false">
      <c r="A38" s="14" t="s">
        <v>3485</v>
      </c>
      <c r="B38" s="14" t="s">
        <v>3465</v>
      </c>
      <c r="C38" s="14" t="s">
        <v>3466</v>
      </c>
    </row>
    <row r="39" customFormat="false" ht="15" hidden="false" customHeight="false" outlineLevel="0" collapsed="false">
      <c r="A39" s="14" t="s">
        <v>3486</v>
      </c>
      <c r="B39" s="14" t="s">
        <v>3465</v>
      </c>
      <c r="C39" s="14" t="s">
        <v>3466</v>
      </c>
    </row>
    <row r="40" customFormat="false" ht="15" hidden="false" customHeight="false" outlineLevel="0" collapsed="false">
      <c r="A40" s="14" t="s">
        <v>3487</v>
      </c>
      <c r="B40" s="14" t="s">
        <v>3470</v>
      </c>
      <c r="C40" s="14" t="s">
        <v>3466</v>
      </c>
    </row>
    <row r="41" customFormat="false" ht="15" hidden="false" customHeight="false" outlineLevel="0" collapsed="false">
      <c r="A41" s="14" t="s">
        <v>3488</v>
      </c>
      <c r="B41" s="14" t="s">
        <v>3470</v>
      </c>
      <c r="C41" s="14" t="s">
        <v>3466</v>
      </c>
    </row>
    <row r="42" customFormat="false" ht="15" hidden="false" customHeight="false" outlineLevel="0" collapsed="false">
      <c r="A42" s="14" t="s">
        <v>3489</v>
      </c>
      <c r="B42" s="14" t="s">
        <v>3470</v>
      </c>
      <c r="C42" s="14" t="s">
        <v>3466</v>
      </c>
    </row>
    <row r="43" customFormat="false" ht="15" hidden="false" customHeight="false" outlineLevel="0" collapsed="false">
      <c r="A43" s="14" t="s">
        <v>3490</v>
      </c>
      <c r="B43" s="14" t="s">
        <v>3470</v>
      </c>
      <c r="C43" s="14" t="s">
        <v>3466</v>
      </c>
    </row>
    <row r="44" customFormat="false" ht="15" hidden="false" customHeight="false" outlineLevel="0" collapsed="false">
      <c r="A44" s="14" t="s">
        <v>3491</v>
      </c>
      <c r="B44" s="14" t="s">
        <v>3470</v>
      </c>
      <c r="C44" s="14" t="s">
        <v>3466</v>
      </c>
    </row>
    <row r="45" customFormat="false" ht="15" hidden="false" customHeight="false" outlineLevel="0" collapsed="false">
      <c r="A45" s="14" t="s">
        <v>3492</v>
      </c>
      <c r="B45" s="14" t="s">
        <v>3470</v>
      </c>
      <c r="C45" s="14" t="s">
        <v>3466</v>
      </c>
    </row>
    <row r="46" customFormat="false" ht="15" hidden="false" customHeight="false" outlineLevel="0" collapsed="false">
      <c r="A46" s="14" t="s">
        <v>3493</v>
      </c>
      <c r="B46" s="14" t="s">
        <v>3470</v>
      </c>
      <c r="C46" s="14" t="s">
        <v>3466</v>
      </c>
    </row>
    <row r="47" customFormat="false" ht="15" hidden="false" customHeight="false" outlineLevel="0" collapsed="false">
      <c r="A47" s="14" t="s">
        <v>3494</v>
      </c>
      <c r="B47" s="14" t="s">
        <v>3495</v>
      </c>
      <c r="C47" s="14" t="s">
        <v>3466</v>
      </c>
    </row>
    <row r="48" customFormat="false" ht="15" hidden="false" customHeight="false" outlineLevel="0" collapsed="false">
      <c r="A48" s="14" t="s">
        <v>3496</v>
      </c>
      <c r="B48" s="14" t="s">
        <v>3495</v>
      </c>
      <c r="C48" s="14" t="s">
        <v>3466</v>
      </c>
    </row>
    <row r="49" customFormat="false" ht="15" hidden="false" customHeight="false" outlineLevel="0" collapsed="false">
      <c r="A49" s="14" t="s">
        <v>3497</v>
      </c>
      <c r="B49" s="14" t="s">
        <v>3495</v>
      </c>
      <c r="C49" s="14" t="s">
        <v>3466</v>
      </c>
    </row>
    <row r="50" customFormat="false" ht="15" hidden="false" customHeight="false" outlineLevel="0" collapsed="false">
      <c r="A50" s="14" t="s">
        <v>3498</v>
      </c>
      <c r="B50" s="14" t="s">
        <v>3495</v>
      </c>
      <c r="C50" s="14" t="s">
        <v>3466</v>
      </c>
    </row>
    <row r="51" customFormat="false" ht="15" hidden="false" customHeight="false" outlineLevel="0" collapsed="false">
      <c r="A51" s="14" t="s">
        <v>3499</v>
      </c>
      <c r="B51" s="14" t="s">
        <v>3495</v>
      </c>
      <c r="C51" s="14" t="s">
        <v>3466</v>
      </c>
    </row>
    <row r="52" customFormat="false" ht="15" hidden="false" customHeight="false" outlineLevel="0" collapsed="false">
      <c r="A52" s="14" t="s">
        <v>3500</v>
      </c>
      <c r="B52" s="14" t="s">
        <v>3495</v>
      </c>
      <c r="C52" s="14" t="s">
        <v>3466</v>
      </c>
    </row>
    <row r="53" customFormat="false" ht="15" hidden="false" customHeight="false" outlineLevel="0" collapsed="false">
      <c r="A53" s="14" t="s">
        <v>3501</v>
      </c>
      <c r="B53" s="14" t="s">
        <v>3473</v>
      </c>
      <c r="C53" s="14" t="s">
        <v>3466</v>
      </c>
    </row>
    <row r="54" customFormat="false" ht="15" hidden="false" customHeight="false" outlineLevel="0" collapsed="false">
      <c r="A54" s="14" t="s">
        <v>3502</v>
      </c>
      <c r="B54" s="14" t="s">
        <v>3473</v>
      </c>
      <c r="C54" s="14" t="s">
        <v>3466</v>
      </c>
    </row>
    <row r="55" customFormat="false" ht="15" hidden="false" customHeight="false" outlineLevel="0" collapsed="false">
      <c r="A55" s="14" t="s">
        <v>3503</v>
      </c>
      <c r="B55" s="14" t="s">
        <v>3473</v>
      </c>
      <c r="C55" s="14" t="s">
        <v>3466</v>
      </c>
    </row>
    <row r="56" customFormat="false" ht="15" hidden="false" customHeight="false" outlineLevel="0" collapsed="false">
      <c r="A56" s="14" t="s">
        <v>3504</v>
      </c>
      <c r="B56" s="14" t="s">
        <v>3473</v>
      </c>
      <c r="C56" s="14" t="s">
        <v>3466</v>
      </c>
    </row>
    <row r="57" customFormat="false" ht="15" hidden="false" customHeight="false" outlineLevel="0" collapsed="false">
      <c r="A57" s="14" t="s">
        <v>3505</v>
      </c>
      <c r="B57" s="14" t="s">
        <v>3473</v>
      </c>
      <c r="C57" s="14" t="s">
        <v>3466</v>
      </c>
    </row>
    <row r="58" customFormat="false" ht="15" hidden="false" customHeight="false" outlineLevel="0" collapsed="false">
      <c r="A58" s="14" t="s">
        <v>3506</v>
      </c>
      <c r="B58" s="14" t="s">
        <v>3473</v>
      </c>
      <c r="C58" s="14" t="s">
        <v>3466</v>
      </c>
    </row>
    <row r="59" customFormat="false" ht="15" hidden="false" customHeight="false" outlineLevel="0" collapsed="false">
      <c r="A59" s="14" t="s">
        <v>3507</v>
      </c>
      <c r="B59" s="14" t="s">
        <v>3473</v>
      </c>
      <c r="C59" s="14" t="s">
        <v>3466</v>
      </c>
    </row>
    <row r="60" customFormat="false" ht="15" hidden="false" customHeight="false" outlineLevel="0" collapsed="false">
      <c r="A60" s="14" t="s">
        <v>3508</v>
      </c>
      <c r="B60" s="14" t="s">
        <v>3473</v>
      </c>
      <c r="C60" s="14" t="s">
        <v>3466</v>
      </c>
    </row>
    <row r="61" customFormat="false" ht="15" hidden="false" customHeight="false" outlineLevel="0" collapsed="false">
      <c r="A61" s="14" t="s">
        <v>3509</v>
      </c>
      <c r="B61" s="14" t="s">
        <v>3473</v>
      </c>
      <c r="C61" s="14" t="s">
        <v>3466</v>
      </c>
    </row>
    <row r="62" customFormat="false" ht="15" hidden="false" customHeight="false" outlineLevel="0" collapsed="false">
      <c r="A62" s="14" t="s">
        <v>3510</v>
      </c>
      <c r="B62" s="14" t="s">
        <v>3473</v>
      </c>
      <c r="C62" s="14" t="s">
        <v>3466</v>
      </c>
    </row>
    <row r="63" customFormat="false" ht="15" hidden="false" customHeight="false" outlineLevel="0" collapsed="false">
      <c r="A63" s="14" t="s">
        <v>3511</v>
      </c>
      <c r="B63" s="14" t="s">
        <v>3473</v>
      </c>
      <c r="C63" s="14" t="s">
        <v>3466</v>
      </c>
    </row>
    <row r="64" customFormat="false" ht="15" hidden="false" customHeight="false" outlineLevel="0" collapsed="false">
      <c r="A64" s="14" t="s">
        <v>3512</v>
      </c>
      <c r="B64" s="14" t="s">
        <v>3473</v>
      </c>
      <c r="C64" s="14" t="s">
        <v>3466</v>
      </c>
    </row>
    <row r="65" customFormat="false" ht="15" hidden="false" customHeight="false" outlineLevel="0" collapsed="false">
      <c r="A65" s="14" t="s">
        <v>3513</v>
      </c>
      <c r="B65" s="14" t="s">
        <v>3473</v>
      </c>
      <c r="C65" s="14" t="s">
        <v>3466</v>
      </c>
    </row>
    <row r="66" customFormat="false" ht="15" hidden="false" customHeight="false" outlineLevel="0" collapsed="false">
      <c r="A66" s="14" t="s">
        <v>3514</v>
      </c>
      <c r="B66" s="14" t="s">
        <v>3515</v>
      </c>
      <c r="C66" s="14" t="s">
        <v>3466</v>
      </c>
    </row>
    <row r="67" customFormat="false" ht="15" hidden="false" customHeight="false" outlineLevel="0" collapsed="false">
      <c r="A67" s="14" t="s">
        <v>3516</v>
      </c>
      <c r="B67" s="14" t="s">
        <v>3515</v>
      </c>
      <c r="C67" s="14" t="s">
        <v>3466</v>
      </c>
    </row>
    <row r="68" customFormat="false" ht="15" hidden="false" customHeight="false" outlineLevel="0" collapsed="false">
      <c r="A68" s="14" t="s">
        <v>3517</v>
      </c>
      <c r="B68" s="14" t="s">
        <v>3515</v>
      </c>
      <c r="C68" s="14" t="s">
        <v>3466</v>
      </c>
    </row>
    <row r="69" customFormat="false" ht="15" hidden="false" customHeight="false" outlineLevel="0" collapsed="false">
      <c r="A69" s="14" t="s">
        <v>3518</v>
      </c>
      <c r="B69" s="14" t="s">
        <v>3515</v>
      </c>
      <c r="C69" s="14" t="s">
        <v>3466</v>
      </c>
    </row>
    <row r="70" customFormat="false" ht="15" hidden="false" customHeight="false" outlineLevel="0" collapsed="false">
      <c r="A70" s="14" t="s">
        <v>3519</v>
      </c>
      <c r="B70" s="14" t="s">
        <v>3515</v>
      </c>
      <c r="C70" s="14" t="s">
        <v>3466</v>
      </c>
    </row>
    <row r="71" customFormat="false" ht="15" hidden="false" customHeight="false" outlineLevel="0" collapsed="false">
      <c r="A71" s="14" t="s">
        <v>3520</v>
      </c>
      <c r="B71" s="14" t="s">
        <v>3521</v>
      </c>
      <c r="C71" s="14" t="s">
        <v>3466</v>
      </c>
    </row>
    <row r="72" customFormat="false" ht="15" hidden="false" customHeight="false" outlineLevel="0" collapsed="false">
      <c r="A72" s="14" t="s">
        <v>3522</v>
      </c>
      <c r="B72" s="14" t="s">
        <v>3521</v>
      </c>
      <c r="C72" s="14" t="s">
        <v>3466</v>
      </c>
    </row>
    <row r="73" customFormat="false" ht="15" hidden="false" customHeight="false" outlineLevel="0" collapsed="false">
      <c r="A73" s="14" t="s">
        <v>3523</v>
      </c>
      <c r="B73" s="14" t="s">
        <v>3524</v>
      </c>
      <c r="C73" s="14" t="s">
        <v>3466</v>
      </c>
    </row>
    <row r="74" customFormat="false" ht="15" hidden="false" customHeight="false" outlineLevel="0" collapsed="false">
      <c r="A74" s="14" t="s">
        <v>3525</v>
      </c>
      <c r="B74" s="14" t="s">
        <v>3524</v>
      </c>
      <c r="C74" s="14" t="s">
        <v>3466</v>
      </c>
    </row>
    <row r="75" customFormat="false" ht="15" hidden="false" customHeight="false" outlineLevel="0" collapsed="false">
      <c r="A75" s="14" t="s">
        <v>3526</v>
      </c>
      <c r="B75" s="14" t="s">
        <v>3524</v>
      </c>
      <c r="C75" s="14" t="s">
        <v>3466</v>
      </c>
    </row>
    <row r="76" customFormat="false" ht="15" hidden="false" customHeight="false" outlineLevel="0" collapsed="false">
      <c r="A76" s="14" t="s">
        <v>3527</v>
      </c>
      <c r="B76" s="14" t="s">
        <v>3524</v>
      </c>
      <c r="C76" s="14" t="s">
        <v>3466</v>
      </c>
    </row>
    <row r="77" customFormat="false" ht="15" hidden="false" customHeight="false" outlineLevel="0" collapsed="false">
      <c r="A77" s="14" t="s">
        <v>3528</v>
      </c>
      <c r="B77" s="14" t="s">
        <v>3524</v>
      </c>
      <c r="C77" s="14" t="s">
        <v>3466</v>
      </c>
    </row>
    <row r="78" customFormat="false" ht="15" hidden="false" customHeight="false" outlineLevel="0" collapsed="false">
      <c r="A78" s="14" t="s">
        <v>3529</v>
      </c>
      <c r="B78" s="14" t="s">
        <v>3524</v>
      </c>
      <c r="C78" s="14" t="s">
        <v>3466</v>
      </c>
    </row>
    <row r="79" customFormat="false" ht="15" hidden="false" customHeight="false" outlineLevel="0" collapsed="false">
      <c r="A79" s="14" t="s">
        <v>3530</v>
      </c>
      <c r="B79" s="14" t="s">
        <v>3524</v>
      </c>
      <c r="C79" s="14" t="s">
        <v>3466</v>
      </c>
    </row>
    <row r="80" customFormat="false" ht="15" hidden="false" customHeight="false" outlineLevel="0" collapsed="false">
      <c r="A80" s="14" t="s">
        <v>3501</v>
      </c>
      <c r="B80" s="14" t="s">
        <v>3531</v>
      </c>
      <c r="C80" s="14" t="s">
        <v>3466</v>
      </c>
    </row>
    <row r="81" customFormat="false" ht="15" hidden="false" customHeight="false" outlineLevel="0" collapsed="false">
      <c r="A81" s="14" t="s">
        <v>3532</v>
      </c>
      <c r="B81" s="14" t="s">
        <v>3531</v>
      </c>
      <c r="C81" s="14" t="s">
        <v>3466</v>
      </c>
    </row>
    <row r="82" customFormat="false" ht="15" hidden="false" customHeight="false" outlineLevel="0" collapsed="false">
      <c r="A82" s="14" t="s">
        <v>3471</v>
      </c>
      <c r="B82" s="14" t="s">
        <v>3533</v>
      </c>
      <c r="C82" s="14" t="s">
        <v>3466</v>
      </c>
    </row>
    <row r="83" customFormat="false" ht="15" hidden="false" customHeight="false" outlineLevel="0" collapsed="false">
      <c r="A83" s="14" t="s">
        <v>3469</v>
      </c>
      <c r="B83" s="14" t="s">
        <v>3533</v>
      </c>
      <c r="C83" s="14" t="s">
        <v>3466</v>
      </c>
    </row>
    <row r="84" customFormat="false" ht="15" hidden="false" customHeight="false" outlineLevel="0" collapsed="false">
      <c r="A84" s="14" t="s">
        <v>3474</v>
      </c>
      <c r="B84" s="14" t="s">
        <v>3531</v>
      </c>
      <c r="C84" s="14" t="s">
        <v>3466</v>
      </c>
    </row>
    <row r="85" customFormat="false" ht="15" hidden="false" customHeight="false" outlineLevel="0" collapsed="false">
      <c r="A85" s="14" t="s">
        <v>3534</v>
      </c>
      <c r="B85" s="14" t="s">
        <v>3535</v>
      </c>
      <c r="C85" s="14" t="s">
        <v>3466</v>
      </c>
    </row>
    <row r="86" customFormat="false" ht="15" hidden="false" customHeight="false" outlineLevel="0" collapsed="false">
      <c r="A86" s="14" t="s">
        <v>3536</v>
      </c>
      <c r="B86" s="14" t="s">
        <v>3535</v>
      </c>
      <c r="C86" s="14" t="s">
        <v>3466</v>
      </c>
    </row>
    <row r="87" customFormat="false" ht="15" hidden="false" customHeight="false" outlineLevel="0" collapsed="false">
      <c r="A87" s="14" t="s">
        <v>3537</v>
      </c>
      <c r="B87" s="14" t="s">
        <v>3535</v>
      </c>
      <c r="C87" s="14" t="s">
        <v>3466</v>
      </c>
    </row>
    <row r="88" customFormat="false" ht="15" hidden="false" customHeight="false" outlineLevel="0" collapsed="false">
      <c r="A88" s="14" t="s">
        <v>3538</v>
      </c>
      <c r="B88" s="14" t="s">
        <v>3531</v>
      </c>
      <c r="C88" s="14" t="s">
        <v>3466</v>
      </c>
    </row>
    <row r="89" customFormat="false" ht="15" hidden="false" customHeight="false" outlineLevel="0" collapsed="false">
      <c r="A89" s="14" t="s">
        <v>3539</v>
      </c>
      <c r="B89" s="14" t="s">
        <v>3531</v>
      </c>
      <c r="C89" s="14" t="s">
        <v>3466</v>
      </c>
    </row>
  </sheetData>
  <autoFilter ref="A1:C89"/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0"/>
  </cols>
  <sheetData>
    <row r="1" customFormat="false" ht="33.75" hidden="false" customHeight="true" outlineLevel="0" collapsed="false">
      <c r="A1" s="13" t="s">
        <v>3540</v>
      </c>
      <c r="B1" s="13" t="s">
        <v>3541</v>
      </c>
    </row>
    <row r="2" customFormat="false" ht="15" hidden="false" customHeight="false" outlineLevel="0" collapsed="false">
      <c r="A2" s="14" t="s">
        <v>3542</v>
      </c>
      <c r="B2" s="14" t="s">
        <v>3543</v>
      </c>
    </row>
    <row r="3" customFormat="false" ht="22.35" hidden="false" customHeight="false" outlineLevel="0" collapsed="false">
      <c r="A3" s="14" t="s">
        <v>3408</v>
      </c>
      <c r="B3" s="14" t="s">
        <v>3544</v>
      </c>
    </row>
    <row r="4" customFormat="false" ht="22.35" hidden="false" customHeight="false" outlineLevel="0" collapsed="false">
      <c r="A4" s="14" t="s">
        <v>3545</v>
      </c>
      <c r="B4" s="14" t="s">
        <v>3546</v>
      </c>
    </row>
    <row r="5" customFormat="false" ht="22.35" hidden="false" customHeight="false" outlineLevel="0" collapsed="false">
      <c r="A5" s="14" t="s">
        <v>3547</v>
      </c>
      <c r="B5" s="14" t="s">
        <v>3548</v>
      </c>
    </row>
    <row r="6" customFormat="false" ht="15" hidden="false" customHeight="false" outlineLevel="0" collapsed="false">
      <c r="A6" s="14" t="s">
        <v>87</v>
      </c>
      <c r="B6" s="14" t="s">
        <v>3549</v>
      </c>
    </row>
    <row r="7" customFormat="false" ht="15" hidden="false" customHeight="false" outlineLevel="0" collapsed="false">
      <c r="A7" s="14" t="s">
        <v>53</v>
      </c>
      <c r="B7" s="14" t="s">
        <v>3550</v>
      </c>
    </row>
    <row r="8" customFormat="false" ht="22.35" hidden="false" customHeight="false" outlineLevel="0" collapsed="false">
      <c r="A8" s="14" t="s">
        <v>3551</v>
      </c>
      <c r="B8" s="14" t="s">
        <v>3552</v>
      </c>
    </row>
    <row r="9" customFormat="false" ht="15" hidden="false" customHeight="false" outlineLevel="0" collapsed="false">
      <c r="A9" s="14" t="s">
        <v>3553</v>
      </c>
      <c r="B9" s="14" t="s">
        <v>3554</v>
      </c>
    </row>
    <row r="10" customFormat="false" ht="22.35" hidden="false" customHeight="false" outlineLevel="0" collapsed="false">
      <c r="A10" s="14" t="s">
        <v>3555</v>
      </c>
      <c r="B10" s="14" t="s">
        <v>3556</v>
      </c>
    </row>
    <row r="11" customFormat="false" ht="15" hidden="false" customHeight="false" outlineLevel="0" collapsed="false">
      <c r="A11" s="14" t="s">
        <v>3557</v>
      </c>
      <c r="B11" s="14" t="s">
        <v>3558</v>
      </c>
    </row>
  </sheetData>
  <autoFilter ref="A1:B11"/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2026-10-15T06:05:05Z</dcterms:created>
  <dc:creator>openpyxl</dc:creator>
  <dc:description/>
  <dc:language>en-US</dc:language>
  <cp:lastModifiedBy/>
  <dcterms:modified xsi:type="dcterms:W3CDTF">2026-10-15T06:05:07Z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